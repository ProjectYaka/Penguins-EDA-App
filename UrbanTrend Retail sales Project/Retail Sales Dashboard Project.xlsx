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micha\Downloads\"/>
    </mc:Choice>
  </mc:AlternateContent>
  <xr:revisionPtr revIDLastSave="0" documentId="13_ncr:1_{9C938F4D-F4A3-46A8-9AAC-7CDF80B62056}" xr6:coauthVersionLast="47" xr6:coauthVersionMax="47" xr10:uidLastSave="{00000000-0000-0000-0000-000000000000}"/>
  <bookViews>
    <workbookView xWindow="-120" yWindow="-120" windowWidth="29040" windowHeight="15720" xr2:uid="{00000000-000D-0000-FFFF-FFFF00000000}"/>
  </bookViews>
  <sheets>
    <sheet name="Raw Data" sheetId="1" r:id="rId1"/>
    <sheet name="Dashboard" sheetId="3" r:id="rId2"/>
    <sheet name="Employee Sale PivotTable" sheetId="2" r:id="rId3"/>
    <sheet name="Monthly Sales PivotTable" sheetId="4" r:id="rId4"/>
    <sheet name="Region PivotTable" sheetId="6" r:id="rId5"/>
    <sheet name="Category PivotTable" sheetId="8" r:id="rId6"/>
  </sheets>
  <definedNames>
    <definedName name="_xlcn.WorksheetConnection_Retail_Sales_Dashboard_Project.xlsxTable1" hidden="1">Table[]</definedName>
    <definedName name="NativeTimeline_Date">#N/A</definedName>
    <definedName name="Slicer_Employee_Name">#N/A</definedName>
    <definedName name="Slicer_Region">#N/A</definedName>
    <definedName name="Total_Sale">Table[Total Sale]</definedName>
  </definedNames>
  <calcPr calcId="191029"/>
  <pivotCaches>
    <pivotCache cacheId="489" r:id="rId7"/>
    <pivotCache cacheId="488" r:id="rId8"/>
  </pivotCaches>
  <extLst>
    <ext xmlns:x14="http://schemas.microsoft.com/office/spreadsheetml/2009/9/main" uri="{876F7934-8845-4945-9796-88D515C7AA90}">
      <x14:pivotCaches>
        <pivotCache cacheId="42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Table" name="Table" connection="WorksheetConnection_Retail_Sales_Dashboard_Project.xlsx!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E4" i="3"/>
  <c r="J25" i="2"/>
  <c r="B6" i="8"/>
  <c r="I4" i="3" s="1"/>
  <c r="B7" i="6"/>
  <c r="G4" i="3" s="1"/>
  <c r="A4" i="3"/>
  <c r="C4" i="3"/>
  <c r="H10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303B63-895D-4AE9-9FB4-3E55BF3DE1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BB3E1D-0509-4D29-B1E2-C653D710C474}" name="WorksheetConnection_Retail_Sales_Dashboard_Project.xlsx!Table" type="102" refreshedVersion="8" minRefreshableVersion="5">
    <extLst>
      <ext xmlns:x15="http://schemas.microsoft.com/office/spreadsheetml/2010/11/main" uri="{DE250136-89BD-433C-8126-D09CA5730AF9}">
        <x15:connection id="Table" autoDelete="1">
          <x15:rangePr sourceName="_xlcn.WorksheetConnection_Retail_Sales_Dashboard_Project.xlsxTable1"/>
        </x15:connection>
      </ext>
    </extLst>
  </connection>
</connections>
</file>

<file path=xl/sharedStrings.xml><?xml version="1.0" encoding="utf-8"?>
<sst xmlns="http://schemas.openxmlformats.org/spreadsheetml/2006/main" count="609" uniqueCount="73">
  <si>
    <t>Date</t>
  </si>
  <si>
    <t>Employee Name</t>
  </si>
  <si>
    <t>Region</t>
  </si>
  <si>
    <t>Product Category</t>
  </si>
  <si>
    <t>Product</t>
  </si>
  <si>
    <t>Units Sold</t>
  </si>
  <si>
    <t>Unit Price</t>
  </si>
  <si>
    <t>Total Sale</t>
  </si>
  <si>
    <t>Elijah Harris</t>
  </si>
  <si>
    <t>Ava Martin</t>
  </si>
  <si>
    <t>Noah Smith</t>
  </si>
  <si>
    <t>Jackson Lee</t>
  </si>
  <si>
    <t>Emma Wilson</t>
  </si>
  <si>
    <t>Sophia Allen</t>
  </si>
  <si>
    <t>Olivia Johnson</t>
  </si>
  <si>
    <t>Isabella White</t>
  </si>
  <si>
    <t>Liam Davis</t>
  </si>
  <si>
    <t>Mason Brown</t>
  </si>
  <si>
    <t>South</t>
  </si>
  <si>
    <t>North</t>
  </si>
  <si>
    <t>West</t>
  </si>
  <si>
    <t>East</t>
  </si>
  <si>
    <t>Apparel</t>
  </si>
  <si>
    <t>Accessories</t>
  </si>
  <si>
    <t>Footwear</t>
  </si>
  <si>
    <t>Jeans</t>
  </si>
  <si>
    <t>Watch</t>
  </si>
  <si>
    <t>Sunglasses</t>
  </si>
  <si>
    <t>Boots</t>
  </si>
  <si>
    <t>Hoodie</t>
  </si>
  <si>
    <t>Sneakers</t>
  </si>
  <si>
    <t>T-Shirt</t>
  </si>
  <si>
    <t>Belt</t>
  </si>
  <si>
    <t>Sandals</t>
  </si>
  <si>
    <t>$45.00</t>
  </si>
  <si>
    <t>$75.00</t>
  </si>
  <si>
    <t>$50.00</t>
  </si>
  <si>
    <t>$100.00</t>
  </si>
  <si>
    <t>$35.00</t>
  </si>
  <si>
    <t>$90.00</t>
  </si>
  <si>
    <t>$20.00</t>
  </si>
  <si>
    <t>$25.00</t>
  </si>
  <si>
    <t>$60.00</t>
  </si>
  <si>
    <t>Total</t>
  </si>
  <si>
    <t>By: Michael Mayaka</t>
  </si>
  <si>
    <t xml:space="preserve">Date: </t>
  </si>
  <si>
    <t>UrbanTrend Outfitters</t>
  </si>
  <si>
    <t>Grand Total</t>
  </si>
  <si>
    <t>Sum of Total Sale</t>
  </si>
  <si>
    <t># of Units Sold</t>
  </si>
  <si>
    <t>East Total</t>
  </si>
  <si>
    <t>South Total</t>
  </si>
  <si>
    <t>West Total</t>
  </si>
  <si>
    <t>North Total</t>
  </si>
  <si>
    <t>Jan</t>
  </si>
  <si>
    <t>Feb</t>
  </si>
  <si>
    <t>Mar</t>
  </si>
  <si>
    <t>Apr</t>
  </si>
  <si>
    <t>Months</t>
  </si>
  <si>
    <t>Total Revenue</t>
  </si>
  <si>
    <t>Total Units Sold</t>
  </si>
  <si>
    <t>Top 5 Employee</t>
  </si>
  <si>
    <t>Top Region</t>
  </si>
  <si>
    <t>Top Category</t>
  </si>
  <si>
    <t>Top Employee:</t>
  </si>
  <si>
    <t>Top Region:</t>
  </si>
  <si>
    <t>Category</t>
  </si>
  <si>
    <t>Top Category:</t>
  </si>
  <si>
    <t>Monthly Sales Chart</t>
  </si>
  <si>
    <t>Category Breakdown</t>
  </si>
  <si>
    <t>Sales by Region</t>
  </si>
  <si>
    <r>
      <rPr>
        <b/>
        <sz val="11"/>
        <color theme="1"/>
        <rFont val="Calibri"/>
        <family val="2"/>
        <scheme val="minor"/>
      </rPr>
      <t>Project Description</t>
    </r>
    <r>
      <rPr>
        <sz val="11"/>
        <color theme="1"/>
        <rFont val="Calibri"/>
        <family val="2"/>
        <scheme val="minor"/>
      </rPr>
      <t>: You are tasked with analyzing and visualizing the monthly sales performance of a fictional retail company, UrbanTrend Outfitters, which sells clothing and accessories. You will use Excel to organize, summarize, and visualize the sales data to identify trends, top-performing employees, and profitable product categories. The final output will be a dashboard that can be used by managers to make strategic decisions.</t>
    </r>
  </si>
  <si>
    <r>
      <rPr>
        <b/>
        <sz val="11"/>
        <color theme="1"/>
        <rFont val="Calibri"/>
        <family val="2"/>
        <scheme val="minor"/>
      </rPr>
      <t xml:space="preserve">Project Goal: </t>
    </r>
    <r>
      <rPr>
        <sz val="11"/>
        <color theme="1"/>
        <rFont val="Calibri"/>
        <family val="2"/>
        <scheme val="minor"/>
      </rPr>
      <t>You are analyzing a fictional retail company’s sales data. You'll create:
Pivot Tables for summarizing data.
Visual Charts to identify performance trends.
A Dashboard using Excel tools.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</si>
</sst>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0" formatCode="&quot;$&quot;#,##0"/>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3"/>
      <color theme="3"/>
      <name val="Calibri"/>
      <family val="2"/>
      <scheme val="minor"/>
    </font>
    <font>
      <sz val="11"/>
      <color theme="0"/>
      <name val="Calibri"/>
      <family val="2"/>
      <scheme val="minor"/>
    </font>
    <font>
      <sz val="22"/>
      <color theme="0"/>
      <name val="Calibri"/>
      <family val="2"/>
      <scheme val="minor"/>
    </font>
    <font>
      <sz val="48"/>
      <color theme="0"/>
      <name val="Calibri"/>
      <family val="2"/>
      <scheme val="minor"/>
    </font>
    <font>
      <b/>
      <sz val="14"/>
      <color theme="1"/>
      <name val="Calibri"/>
      <family val="2"/>
      <scheme val="minor"/>
    </font>
  </fonts>
  <fills count="3">
    <fill>
      <patternFill patternType="none"/>
    </fill>
    <fill>
      <patternFill patternType="gray125"/>
    </fill>
    <fill>
      <patternFill patternType="solid">
        <fgColor theme="4"/>
      </patternFill>
    </fill>
  </fills>
  <borders count="9">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style="thin">
        <color auto="1"/>
      </left>
      <right style="thin">
        <color auto="1"/>
      </right>
      <top/>
      <bottom style="thin">
        <color auto="1"/>
      </bottom>
      <diagonal/>
    </border>
    <border>
      <left/>
      <right/>
      <top style="thin">
        <color indexed="64"/>
      </top>
      <bottom style="thick">
        <color theme="4" tint="0.499984740745262"/>
      </bottom>
      <diagonal/>
    </border>
    <border>
      <left style="thin">
        <color indexed="64"/>
      </left>
      <right/>
      <top style="thin">
        <color indexed="64"/>
      </top>
      <bottom style="thick">
        <color theme="4" tint="0.499984740745262"/>
      </bottom>
      <diagonal/>
    </border>
    <border>
      <left style="thin">
        <color indexed="64"/>
      </left>
      <right/>
      <top/>
      <bottom style="thick">
        <color theme="4" tint="0.499984740745262"/>
      </bottom>
      <diagonal/>
    </border>
    <border>
      <left/>
      <right style="thin">
        <color indexed="64"/>
      </right>
      <top style="thin">
        <color indexed="64"/>
      </top>
      <bottom style="thick">
        <color theme="4" tint="0.499984740745262"/>
      </bottom>
      <diagonal/>
    </border>
    <border>
      <left/>
      <right style="thin">
        <color indexed="64"/>
      </right>
      <top/>
      <bottom style="thick">
        <color theme="4" tint="0.499984740745262"/>
      </bottom>
      <diagonal/>
    </border>
  </borders>
  <cellStyleXfs count="4">
    <xf numFmtId="0" fontId="0" fillId="0" borderId="0"/>
    <xf numFmtId="44" fontId="2" fillId="0" borderId="0" applyFont="0" applyFill="0" applyBorder="0" applyAlignment="0" applyProtection="0"/>
    <xf numFmtId="0" fontId="3" fillId="0" borderId="2" applyNumberFormat="0" applyFill="0" applyAlignment="0" applyProtection="0"/>
    <xf numFmtId="0" fontId="4" fillId="2" borderId="0" applyNumberFormat="0" applyBorder="0" applyAlignment="0" applyProtection="0"/>
  </cellStyleXfs>
  <cellXfs count="29">
    <xf numFmtId="0" fontId="0" fillId="0" borderId="0" xfId="0"/>
    <xf numFmtId="164" fontId="0" fillId="0" borderId="0" xfId="0" applyNumberFormat="1"/>
    <xf numFmtId="0" fontId="0" fillId="0" borderId="0" xfId="0" applyAlignment="1">
      <alignment wrapText="1"/>
    </xf>
    <xf numFmtId="0" fontId="0" fillId="0" borderId="0" xfId="0" applyAlignment="1">
      <alignment vertical="top" wrapText="1"/>
    </xf>
    <xf numFmtId="14" fontId="0" fillId="0" borderId="0" xfId="0" applyNumberFormat="1"/>
    <xf numFmtId="0" fontId="4" fillId="2" borderId="0" xfId="3" applyAlignment="1">
      <alignment horizontal="center" vertical="center"/>
    </xf>
    <xf numFmtId="0" fontId="6" fillId="2" borderId="0" xfId="3" applyFont="1" applyAlignment="1">
      <alignment horizontal="center" vertical="center"/>
    </xf>
    <xf numFmtId="0" fontId="0" fillId="0" borderId="0" xfId="0" pivotButton="1"/>
    <xf numFmtId="0" fontId="0" fillId="0" borderId="0" xfId="0" applyAlignment="1">
      <alignment horizontal="left"/>
    </xf>
    <xf numFmtId="170" fontId="0" fillId="0" borderId="0" xfId="0" applyNumberFormat="1"/>
    <xf numFmtId="1" fontId="0" fillId="0" borderId="0" xfId="0" applyNumberFormat="1"/>
    <xf numFmtId="0" fontId="1" fillId="0" borderId="0" xfId="0" applyFont="1"/>
    <xf numFmtId="0" fontId="3" fillId="0" borderId="2" xfId="2" applyAlignment="1">
      <alignment horizontal="center" vertical="center"/>
    </xf>
    <xf numFmtId="0" fontId="3" fillId="0" borderId="4" xfId="2" applyBorder="1" applyAlignment="1">
      <alignment horizontal="center" vertical="center"/>
    </xf>
    <xf numFmtId="0" fontId="3" fillId="0" borderId="2" xfId="2" applyBorder="1" applyAlignment="1">
      <alignment horizontal="center" vertical="center"/>
    </xf>
    <xf numFmtId="0" fontId="3" fillId="0" borderId="5" xfId="2" applyBorder="1" applyAlignment="1">
      <alignment horizontal="center" vertical="center"/>
    </xf>
    <xf numFmtId="0" fontId="3" fillId="0" borderId="6" xfId="2" applyBorder="1" applyAlignment="1">
      <alignment horizontal="center" vertical="center"/>
    </xf>
    <xf numFmtId="0" fontId="3" fillId="0" borderId="7" xfId="2" applyBorder="1" applyAlignment="1">
      <alignment horizontal="center" vertical="center"/>
    </xf>
    <xf numFmtId="0" fontId="3" fillId="0" borderId="8" xfId="2" applyBorder="1" applyAlignment="1">
      <alignment horizontal="center" vertical="center"/>
    </xf>
    <xf numFmtId="0" fontId="5" fillId="2" borderId="3" xfId="3" applyFont="1" applyBorder="1" applyAlignment="1">
      <alignment horizontal="center" vertical="center"/>
    </xf>
    <xf numFmtId="0" fontId="5" fillId="2" borderId="1" xfId="3" applyFont="1" applyBorder="1" applyAlignment="1">
      <alignment horizontal="center" vertical="center"/>
    </xf>
    <xf numFmtId="0" fontId="3" fillId="0" borderId="2" xfId="2"/>
    <xf numFmtId="0" fontId="5" fillId="2" borderId="3" xfId="3" applyFont="1" applyBorder="1" applyAlignment="1">
      <alignment horizontal="center" vertical="center" wrapText="1"/>
    </xf>
    <xf numFmtId="0" fontId="5" fillId="2" borderId="1" xfId="3" applyFont="1" applyBorder="1" applyAlignment="1">
      <alignment horizontal="center" vertical="center" wrapText="1"/>
    </xf>
    <xf numFmtId="164" fontId="0" fillId="0" borderId="0" xfId="1" applyNumberFormat="1" applyFont="1" applyAlignment="1">
      <alignment horizontal="right"/>
    </xf>
    <xf numFmtId="0" fontId="3" fillId="0" borderId="2" xfId="2" applyAlignment="1">
      <alignment horizontal="left"/>
    </xf>
    <xf numFmtId="0" fontId="3" fillId="0" borderId="2" xfId="2" applyAlignment="1">
      <alignment horizontal="center"/>
    </xf>
    <xf numFmtId="0" fontId="7" fillId="0" borderId="0" xfId="0" applyFont="1" applyAlignment="1">
      <alignment horizontal="center" vertical="center"/>
    </xf>
    <xf numFmtId="14" fontId="7" fillId="0" borderId="0" xfId="0" applyNumberFormat="1" applyFont="1" applyAlignment="1">
      <alignment horizontal="center" vertical="center"/>
    </xf>
  </cellXfs>
  <cellStyles count="4">
    <cellStyle name="Accent1" xfId="3" builtinId="29"/>
    <cellStyle name="Currency" xfId="1" builtinId="4"/>
    <cellStyle name="Heading 2" xfId="2" builtinId="17"/>
    <cellStyle name="Normal" xfId="0" builtinId="0"/>
  </cellStyles>
  <dxfs count="10">
    <dxf>
      <numFmt numFmtId="170" formatCode="&quot;$&quot;#,##0"/>
    </dxf>
    <dxf>
      <numFmt numFmtId="170" formatCode="&quot;$&quot;#,##0"/>
    </dxf>
    <dxf>
      <numFmt numFmtId="170" formatCode="&quot;$&quot;#,##0"/>
    </dxf>
    <dxf>
      <numFmt numFmtId="1" formatCode="0"/>
    </dxf>
    <dxf>
      <numFmt numFmtId="1" formatCode="0"/>
    </dxf>
    <dxf>
      <numFmt numFmtId="170" formatCode="&quot;$&quot;#,##0"/>
    </dxf>
    <dxf>
      <numFmt numFmtId="164" formatCode="&quot;$&quot;#,##0.00"/>
      <alignment horizontal="right" vertical="bottom" textRotation="0" wrapText="0" indent="0" justifyLastLine="0" shrinkToFit="0" readingOrder="0"/>
    </dxf>
    <dxf>
      <numFmt numFmtId="164" formatCode="&quot;$&quot;#,##0.00"/>
    </dxf>
    <dxf>
      <numFmt numFmtId="170" formatCode="&quot;$&quot;#,##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Project.xlsx]Monthly Sales PivotTable!PivotTable4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PivotTable'!$B$1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PivotTable'!$A$2:$A$6</c:f>
              <c:strCache>
                <c:ptCount val="4"/>
                <c:pt idx="0">
                  <c:v>Jan</c:v>
                </c:pt>
                <c:pt idx="1">
                  <c:v>Feb</c:v>
                </c:pt>
                <c:pt idx="2">
                  <c:v>Mar</c:v>
                </c:pt>
                <c:pt idx="3">
                  <c:v>Apr</c:v>
                </c:pt>
              </c:strCache>
            </c:strRef>
          </c:cat>
          <c:val>
            <c:numRef>
              <c:f>'Monthly Sales PivotTable'!$B$2:$B$6</c:f>
              <c:numCache>
                <c:formatCode>"$"#,##0</c:formatCode>
                <c:ptCount val="4"/>
                <c:pt idx="0">
                  <c:v>4825</c:v>
                </c:pt>
                <c:pt idx="1">
                  <c:v>5190</c:v>
                </c:pt>
                <c:pt idx="2">
                  <c:v>5290</c:v>
                </c:pt>
                <c:pt idx="3">
                  <c:v>3855</c:v>
                </c:pt>
              </c:numCache>
            </c:numRef>
          </c:val>
          <c:extLst>
            <c:ext xmlns:c16="http://schemas.microsoft.com/office/drawing/2014/chart" uri="{C3380CC4-5D6E-409C-BE32-E72D297353CC}">
              <c16:uniqueId val="{00000001-F263-4C38-9D69-A88D2B874B6D}"/>
            </c:ext>
          </c:extLst>
        </c:ser>
        <c:dLbls>
          <c:dLblPos val="outEnd"/>
          <c:showLegendKey val="0"/>
          <c:showVal val="1"/>
          <c:showCatName val="0"/>
          <c:showSerName val="0"/>
          <c:showPercent val="0"/>
          <c:showBubbleSize val="0"/>
        </c:dLbls>
        <c:gapWidth val="150"/>
        <c:axId val="1125977295"/>
        <c:axId val="1125980175"/>
      </c:barChart>
      <c:catAx>
        <c:axId val="1125977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r>
                  <a:rPr lang="en-US" sz="1000" b="0" i="0" u="none" strike="noStrike" kern="1200" baseline="0">
                    <a:solidFill>
                      <a:sysClr val="windowText" lastClr="000000">
                        <a:lumMod val="65000"/>
                        <a:lumOff val="35000"/>
                      </a:sysClr>
                    </a:solidFill>
                  </a:rPr>
                  <a: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80175"/>
        <c:crosses val="autoZero"/>
        <c:auto val="1"/>
        <c:lblAlgn val="ctr"/>
        <c:lblOffset val="100"/>
        <c:noMultiLvlLbl val="0"/>
      </c:catAx>
      <c:valAx>
        <c:axId val="1125980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a:t>
                </a:r>
                <a:r>
                  <a:rPr lang="en-US" sz="1000" b="0" i="0" u="none" strike="noStrike" kern="1200" baseline="0">
                    <a:solidFill>
                      <a:sysClr val="windowText" lastClr="000000">
                        <a:lumMod val="65000"/>
                        <a:lumOff val="35000"/>
                      </a:sysClr>
                    </a:solidFill>
                  </a:rPr>
                  <a:t>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7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 Project.xlsx]Category PivotTable!PivotTable8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'Category PivotTable'!$B$1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F0-4CBD-B19C-D8BC4E658C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F0-4CBD-B19C-D8BC4E658C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F0-4CBD-B19C-D8BC4E658C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PivotTable'!$A$2:$A$5</c:f>
              <c:strCache>
                <c:ptCount val="3"/>
                <c:pt idx="0">
                  <c:v>Accessories</c:v>
                </c:pt>
                <c:pt idx="1">
                  <c:v>Apparel</c:v>
                </c:pt>
                <c:pt idx="2">
                  <c:v>Footwear</c:v>
                </c:pt>
              </c:strCache>
            </c:strRef>
          </c:cat>
          <c:val>
            <c:numRef>
              <c:f>'Category PivotTable'!$B$2:$B$5</c:f>
              <c:numCache>
                <c:formatCode>"$"#,##0</c:formatCode>
                <c:ptCount val="3"/>
                <c:pt idx="0">
                  <c:v>5025</c:v>
                </c:pt>
                <c:pt idx="1">
                  <c:v>3035</c:v>
                </c:pt>
                <c:pt idx="2">
                  <c:v>11100</c:v>
                </c:pt>
              </c:numCache>
            </c:numRef>
          </c:val>
          <c:extLst>
            <c:ext xmlns:c16="http://schemas.microsoft.com/office/drawing/2014/chart" uri="{C3380CC4-5D6E-409C-BE32-E72D297353CC}">
              <c16:uniqueId val="{00000006-53F0-4CBD-B19C-D8BC4E658CF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Project.xlsx]Category PivotTable!PivotTable8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'Category PivotTable'!$B$1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CE-4098-816D-E6EB6DCCD9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CE-4098-816D-E6EB6DCCD9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CE-4098-816D-E6EB6DCCD9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PivotTable'!$A$2:$A$5</c:f>
              <c:strCache>
                <c:ptCount val="3"/>
                <c:pt idx="0">
                  <c:v>Accessories</c:v>
                </c:pt>
                <c:pt idx="1">
                  <c:v>Apparel</c:v>
                </c:pt>
                <c:pt idx="2">
                  <c:v>Footwear</c:v>
                </c:pt>
              </c:strCache>
            </c:strRef>
          </c:cat>
          <c:val>
            <c:numRef>
              <c:f>'Category PivotTable'!$B$2:$B$5</c:f>
              <c:numCache>
                <c:formatCode>"$"#,##0</c:formatCode>
                <c:ptCount val="3"/>
                <c:pt idx="0">
                  <c:v>5025</c:v>
                </c:pt>
                <c:pt idx="1">
                  <c:v>3035</c:v>
                </c:pt>
                <c:pt idx="2">
                  <c:v>11100</c:v>
                </c:pt>
              </c:numCache>
            </c:numRef>
          </c:val>
          <c:extLst>
            <c:ext xmlns:c16="http://schemas.microsoft.com/office/drawing/2014/chart" uri="{C3380CC4-5D6E-409C-BE32-E72D297353CC}">
              <c16:uniqueId val="{00000006-41CE-4098-816D-E6EB6DCCD9A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Project.xlsx]Employee Sale PivotTable!PivotTable10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Sale PivotTable'!$J$26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Sale PivotTable'!$I$27:$I$37</c:f>
              <c:strCache>
                <c:ptCount val="10"/>
                <c:pt idx="0">
                  <c:v>Elijah Harris</c:v>
                </c:pt>
                <c:pt idx="1">
                  <c:v>Isabella White</c:v>
                </c:pt>
                <c:pt idx="2">
                  <c:v>Sophia Allen</c:v>
                </c:pt>
                <c:pt idx="3">
                  <c:v>Mason Brown</c:v>
                </c:pt>
                <c:pt idx="4">
                  <c:v>Ava Martin</c:v>
                </c:pt>
                <c:pt idx="5">
                  <c:v>Jackson Lee</c:v>
                </c:pt>
                <c:pt idx="6">
                  <c:v>Emma Wilson</c:v>
                </c:pt>
                <c:pt idx="7">
                  <c:v>Liam Davis</c:v>
                </c:pt>
                <c:pt idx="8">
                  <c:v>Noah Smith</c:v>
                </c:pt>
                <c:pt idx="9">
                  <c:v>Olivia Johnson</c:v>
                </c:pt>
              </c:strCache>
            </c:strRef>
          </c:cat>
          <c:val>
            <c:numRef>
              <c:f>'Employee Sale PivotTable'!$J$27:$J$37</c:f>
              <c:numCache>
                <c:formatCode>"$"#,##0</c:formatCode>
                <c:ptCount val="10"/>
                <c:pt idx="0">
                  <c:v>1270</c:v>
                </c:pt>
                <c:pt idx="1">
                  <c:v>1515</c:v>
                </c:pt>
                <c:pt idx="2">
                  <c:v>1590</c:v>
                </c:pt>
                <c:pt idx="3">
                  <c:v>1895</c:v>
                </c:pt>
                <c:pt idx="4">
                  <c:v>2040</c:v>
                </c:pt>
                <c:pt idx="5">
                  <c:v>2060</c:v>
                </c:pt>
                <c:pt idx="6">
                  <c:v>2095</c:v>
                </c:pt>
                <c:pt idx="7">
                  <c:v>2200</c:v>
                </c:pt>
                <c:pt idx="8">
                  <c:v>2205</c:v>
                </c:pt>
                <c:pt idx="9">
                  <c:v>2290</c:v>
                </c:pt>
              </c:numCache>
            </c:numRef>
          </c:val>
          <c:extLst>
            <c:ext xmlns:c16="http://schemas.microsoft.com/office/drawing/2014/chart" uri="{C3380CC4-5D6E-409C-BE32-E72D297353CC}">
              <c16:uniqueId val="{00000000-51F7-4A35-8771-5CA32326A363}"/>
            </c:ext>
          </c:extLst>
        </c:ser>
        <c:dLbls>
          <c:dLblPos val="outEnd"/>
          <c:showLegendKey val="0"/>
          <c:showVal val="1"/>
          <c:showCatName val="0"/>
          <c:showSerName val="0"/>
          <c:showPercent val="0"/>
          <c:showBubbleSize val="0"/>
        </c:dLbls>
        <c:gapWidth val="182"/>
        <c:axId val="1125937455"/>
        <c:axId val="1125926415"/>
      </c:barChart>
      <c:catAx>
        <c:axId val="1125937455"/>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26415"/>
        <c:crosses val="autoZero"/>
        <c:auto val="1"/>
        <c:lblAlgn val="ctr"/>
        <c:lblOffset val="100"/>
        <c:noMultiLvlLbl val="0"/>
      </c:catAx>
      <c:valAx>
        <c:axId val="1125926415"/>
        <c:scaling>
          <c:orientation val="minMax"/>
        </c:scaling>
        <c:delete val="1"/>
        <c:axPos val="b"/>
        <c:minorGridlines>
          <c:spPr>
            <a:ln w="9525" cap="flat" cmpd="sng" algn="ctr">
              <a:solidFill>
                <a:schemeClr val="tx1">
                  <a:lumMod val="5000"/>
                  <a:lumOff val="95000"/>
                </a:schemeClr>
              </a:solidFill>
              <a:round/>
            </a:ln>
            <a:effectLst/>
          </c:spPr>
        </c:minorGridlines>
        <c:numFmt formatCode="&quot;$&quot;#,##0" sourceLinked="1"/>
        <c:majorTickMark val="none"/>
        <c:minorTickMark val="none"/>
        <c:tickLblPos val="nextTo"/>
        <c:crossAx val="112593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 Project.xlsx]Region PivotTable!PivotTable7</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Region </a:t>
            </a:r>
            <a:r>
              <a:rPr lang="en-US" sz="1600"/>
              <a:t>Sales </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PivotTable'!$B$1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PivotTable'!$A$2:$A$6</c:f>
              <c:strCache>
                <c:ptCount val="4"/>
                <c:pt idx="0">
                  <c:v>East</c:v>
                </c:pt>
                <c:pt idx="1">
                  <c:v>North</c:v>
                </c:pt>
                <c:pt idx="2">
                  <c:v>South</c:v>
                </c:pt>
                <c:pt idx="3">
                  <c:v>West</c:v>
                </c:pt>
              </c:strCache>
            </c:strRef>
          </c:cat>
          <c:val>
            <c:numRef>
              <c:f>'Region PivotTable'!$B$2:$B$6</c:f>
              <c:numCache>
                <c:formatCode>"$"#,##0</c:formatCode>
                <c:ptCount val="4"/>
                <c:pt idx="0">
                  <c:v>4235</c:v>
                </c:pt>
                <c:pt idx="1">
                  <c:v>4325</c:v>
                </c:pt>
                <c:pt idx="2">
                  <c:v>4955</c:v>
                </c:pt>
                <c:pt idx="3">
                  <c:v>5645</c:v>
                </c:pt>
              </c:numCache>
            </c:numRef>
          </c:val>
          <c:extLst>
            <c:ext xmlns:c16="http://schemas.microsoft.com/office/drawing/2014/chart" uri="{C3380CC4-5D6E-409C-BE32-E72D297353CC}">
              <c16:uniqueId val="{00000000-61C7-4A35-8F1C-B9C2F1CDA6C5}"/>
            </c:ext>
          </c:extLst>
        </c:ser>
        <c:dLbls>
          <c:dLblPos val="outEnd"/>
          <c:showLegendKey val="0"/>
          <c:showVal val="1"/>
          <c:showCatName val="0"/>
          <c:showSerName val="0"/>
          <c:showPercent val="0"/>
          <c:showBubbleSize val="0"/>
        </c:dLbls>
        <c:gapWidth val="219"/>
        <c:overlap val="-27"/>
        <c:axId val="1465349855"/>
        <c:axId val="1465357055"/>
      </c:barChart>
      <c:catAx>
        <c:axId val="14653498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57055"/>
        <c:crosses val="autoZero"/>
        <c:auto val="1"/>
        <c:lblAlgn val="ctr"/>
        <c:lblOffset val="100"/>
        <c:noMultiLvlLbl val="0"/>
      </c:catAx>
      <c:valAx>
        <c:axId val="14653570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4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11</xdr:col>
      <xdr:colOff>390525</xdr:colOff>
      <xdr:row>10</xdr:row>
      <xdr:rowOff>76200</xdr:rowOff>
    </xdr:from>
    <xdr:ext cx="184731" cy="264560"/>
    <xdr:sp macro="" textlink="">
      <xdr:nvSpPr>
        <xdr:cNvPr id="5" name="TextBox 4">
          <a:extLst>
            <a:ext uri="{FF2B5EF4-FFF2-40B4-BE49-F238E27FC236}">
              <a16:creationId xmlns:a16="http://schemas.microsoft.com/office/drawing/2014/main" id="{480A3A11-E780-9B47-6CF1-3ACB6ED0F00A}"/>
            </a:ext>
          </a:extLst>
        </xdr:cNvPr>
        <xdr:cNvSpPr txBox="1"/>
      </xdr:nvSpPr>
      <xdr:spPr>
        <a:xfrm>
          <a:off x="8896350" y="293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23812</xdr:rowOff>
    </xdr:from>
    <xdr:to>
      <xdr:col>7</xdr:col>
      <xdr:colOff>600074</xdr:colOff>
      <xdr:row>27</xdr:row>
      <xdr:rowOff>19050</xdr:rowOff>
    </xdr:to>
    <xdr:graphicFrame macro="">
      <xdr:nvGraphicFramePr>
        <xdr:cNvPr id="2" name="Chart 1">
          <a:extLst>
            <a:ext uri="{FF2B5EF4-FFF2-40B4-BE49-F238E27FC236}">
              <a16:creationId xmlns:a16="http://schemas.microsoft.com/office/drawing/2014/main" id="{196F3A09-9666-BE2E-FEFF-3A052BE1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9525</xdr:colOff>
      <xdr:row>13</xdr:row>
      <xdr:rowOff>19050</xdr:rowOff>
    </xdr:from>
    <xdr:to>
      <xdr:col>12</xdr:col>
      <xdr:colOff>66675</xdr:colOff>
      <xdr:row>20</xdr:row>
      <xdr:rowOff>47625</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72D5ED09-E417-512F-78AA-7F024C1F8F9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686425" y="2562225"/>
              <a:ext cx="18859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31</xdr:row>
      <xdr:rowOff>9525</xdr:rowOff>
    </xdr:from>
    <xdr:to>
      <xdr:col>7</xdr:col>
      <xdr:colOff>600074</xdr:colOff>
      <xdr:row>45</xdr:row>
      <xdr:rowOff>9525</xdr:rowOff>
    </xdr:to>
    <xdr:graphicFrame macro="">
      <xdr:nvGraphicFramePr>
        <xdr:cNvPr id="4" name="Chart 8">
          <a:extLst>
            <a:ext uri="{FF2B5EF4-FFF2-40B4-BE49-F238E27FC236}">
              <a16:creationId xmlns:a16="http://schemas.microsoft.com/office/drawing/2014/main" id="{C618A8E4-C987-7015-DBB7-F6C688DE4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109537</xdr:rowOff>
    </xdr:from>
    <xdr:to>
      <xdr:col>7</xdr:col>
      <xdr:colOff>590550</xdr:colOff>
      <xdr:row>60</xdr:row>
      <xdr:rowOff>33337</xdr:rowOff>
    </xdr:to>
    <xdr:graphicFrame macro="">
      <xdr:nvGraphicFramePr>
        <xdr:cNvPr id="5" name="Chart 1">
          <a:extLst>
            <a:ext uri="{FF2B5EF4-FFF2-40B4-BE49-F238E27FC236}">
              <a16:creationId xmlns:a16="http://schemas.microsoft.com/office/drawing/2014/main" id="{39CE4591-AC96-C18F-3F2C-1B325721C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14287</xdr:colOff>
      <xdr:row>31</xdr:row>
      <xdr:rowOff>23812</xdr:rowOff>
    </xdr:from>
    <xdr:to>
      <xdr:col>15</xdr:col>
      <xdr:colOff>0</xdr:colOff>
      <xdr:row>45</xdr:row>
      <xdr:rowOff>0</xdr:rowOff>
    </xdr:to>
    <xdr:graphicFrame macro="">
      <xdr:nvGraphicFramePr>
        <xdr:cNvPr id="6" name="Chart 12">
          <a:extLst>
            <a:ext uri="{FF2B5EF4-FFF2-40B4-BE49-F238E27FC236}">
              <a16:creationId xmlns:a16="http://schemas.microsoft.com/office/drawing/2014/main" id="{7B1701A6-5A69-D3F5-E6E2-BCD179FB0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4762</xdr:colOff>
      <xdr:row>48</xdr:row>
      <xdr:rowOff>14287</xdr:rowOff>
    </xdr:from>
    <xdr:to>
      <xdr:col>15</xdr:col>
      <xdr:colOff>0</xdr:colOff>
      <xdr:row>61</xdr:row>
      <xdr:rowOff>180975</xdr:rowOff>
    </xdr:to>
    <xdr:graphicFrame macro="">
      <xdr:nvGraphicFramePr>
        <xdr:cNvPr id="9" name="Chart 1">
          <a:extLst>
            <a:ext uri="{FF2B5EF4-FFF2-40B4-BE49-F238E27FC236}">
              <a16:creationId xmlns:a16="http://schemas.microsoft.com/office/drawing/2014/main" id="{732465F2-36C9-E00B-5425-A0D683131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xdr:colOff>
      <xdr:row>3</xdr:row>
      <xdr:rowOff>1</xdr:rowOff>
    </xdr:from>
    <xdr:to>
      <xdr:col>8</xdr:col>
      <xdr:colOff>409575</xdr:colOff>
      <xdr:row>15</xdr:row>
      <xdr:rowOff>171451</xdr:rowOff>
    </xdr:to>
    <mc:AlternateContent xmlns:mc="http://schemas.openxmlformats.org/markup-compatibility/2006">
      <mc:Choice xmlns:a14="http://schemas.microsoft.com/office/drawing/2010/main" Requires="a14">
        <xdr:graphicFrame macro="">
          <xdr:nvGraphicFramePr>
            <xdr:cNvPr id="2" name="Employee Name">
              <a:extLst>
                <a:ext uri="{FF2B5EF4-FFF2-40B4-BE49-F238E27FC236}">
                  <a16:creationId xmlns:a16="http://schemas.microsoft.com/office/drawing/2014/main" id="{0439B4C4-2B10-72E9-42CD-DF5493DF79D3}"/>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5810250" y="571501"/>
              <a:ext cx="1828800" cy="245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762000</xdr:colOff>
      <xdr:row>2</xdr:row>
      <xdr:rowOff>180976</xdr:rowOff>
    </xdr:from>
    <xdr:to>
      <xdr:col>10</xdr:col>
      <xdr:colOff>304800</xdr:colOff>
      <xdr:row>16</xdr:row>
      <xdr:rowOff>9526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FD50646-DDBF-8922-5D40-E6B52B3004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91475" y="561976"/>
              <a:ext cx="18288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Mayaka" refreshedDate="45788.93971377315" createdVersion="8" refreshedVersion="8" minRefreshableVersion="3" recordCount="100" xr:uid="{1322308E-1341-4376-BF60-C02EB71CFAC3}">
  <cacheSource type="worksheet">
    <worksheetSource name="Table"/>
  </cacheSource>
  <cacheFields count="10">
    <cacheField name="Date" numFmtId="14">
      <sharedItems containsSemiMixedTypes="0" containsNonDate="0" containsDate="1" containsString="0" minDate="2025-01-02T00:00:00" maxDate="2025-04-29T00:00:00" count="63">
        <d v="2025-01-02T00:00:00"/>
        <d v="2025-01-03T00:00:00"/>
        <d v="2025-01-06T00:00:00"/>
        <d v="2025-01-07T00:00:00"/>
        <d v="2025-01-08T00:00:00"/>
        <d v="2025-01-09T00:00:00"/>
        <d v="2025-01-13T00:00:00"/>
        <d v="2025-01-14T00:00:00"/>
        <d v="2025-01-18T00:00:00"/>
        <d v="2025-01-19T00:00:00"/>
        <d v="2025-01-25T00:00:00"/>
        <d v="2025-01-26T00:00:00"/>
        <d v="2025-01-28T00:00:00"/>
        <d v="2025-01-29T00:00:00"/>
        <d v="2025-01-31T00:00:00"/>
        <d v="2025-02-01T00:00:00"/>
        <d v="2025-02-02T00:00:00"/>
        <d v="2025-02-05T00:00:00"/>
        <d v="2025-02-06T00:00:00"/>
        <d v="2025-02-10T00:00:00"/>
        <d v="2025-02-11T00:00:00"/>
        <d v="2025-02-12T00:00:00"/>
        <d v="2025-02-14T00:00:00"/>
        <d v="2025-02-15T00:00:00"/>
        <d v="2025-02-17T00:00:00"/>
        <d v="2025-02-19T00:00:00"/>
        <d v="2025-02-20T00:00:00"/>
        <d v="2025-02-21T00:00:00"/>
        <d v="2025-02-22T00:00:00"/>
        <d v="2025-02-23T00:00:00"/>
        <d v="2025-02-24T00:00:00"/>
        <d v="2025-02-28T00:00:00"/>
        <d v="2025-03-01T00:00:00"/>
        <d v="2025-03-02T00:00:00"/>
        <d v="2025-03-03T00:00:00"/>
        <d v="2025-03-07T00:00:00"/>
        <d v="2025-03-08T00:00:00"/>
        <d v="2025-03-10T00:00:00"/>
        <d v="2025-03-13T00:00:00"/>
        <d v="2025-03-14T00:00:00"/>
        <d v="2025-03-16T00:00:00"/>
        <d v="2025-03-18T00:00:00"/>
        <d v="2025-03-19T00:00:00"/>
        <d v="2025-03-20T00:00:00"/>
        <d v="2025-03-21T00:00:00"/>
        <d v="2025-03-25T00:00:00"/>
        <d v="2025-03-26T00:00:00"/>
        <d v="2025-03-27T00:00:00"/>
        <d v="2025-03-28T00:00:00"/>
        <d v="2025-03-29T00:00:00"/>
        <d v="2025-03-31T00:00:00"/>
        <d v="2025-04-01T00:00:00"/>
        <d v="2025-04-05T00:00:00"/>
        <d v="2025-04-10T00:00:00"/>
        <d v="2025-04-11T00:00:00"/>
        <d v="2025-04-12T00:00:00"/>
        <d v="2025-04-18T00:00:00"/>
        <d v="2025-04-19T00:00:00"/>
        <d v="2025-04-20T00:00:00"/>
        <d v="2025-04-24T00:00:00"/>
        <d v="2025-04-26T00:00:00"/>
        <d v="2025-04-27T00:00:00"/>
        <d v="2025-04-28T00:00:00"/>
      </sharedItems>
      <fieldGroup par="9"/>
    </cacheField>
    <cacheField name="Employee Name" numFmtId="0">
      <sharedItems count="10">
        <s v="Isabella White"/>
        <s v="Jackson Lee"/>
        <s v="Ava Martin"/>
        <s v="Liam Davis"/>
        <s v="Elijah Harris"/>
        <s v="Noah Smith"/>
        <s v="Emma Wilson"/>
        <s v="Sophia Allen"/>
        <s v="Mason Brown"/>
        <s v="Olivia Johnson"/>
      </sharedItems>
    </cacheField>
    <cacheField name="Region" numFmtId="0">
      <sharedItems count="4">
        <s v="North"/>
        <s v="West"/>
        <s v="East"/>
        <s v="South"/>
      </sharedItems>
    </cacheField>
    <cacheField name="Product Category" numFmtId="0">
      <sharedItems count="3">
        <s v="Apparel"/>
        <s v="Accessories"/>
        <s v="Footwear"/>
      </sharedItems>
    </cacheField>
    <cacheField name="Product" numFmtId="0">
      <sharedItems count="9">
        <s v="Jeans"/>
        <s v="Hoodie"/>
        <s v="Belt"/>
        <s v="Watch"/>
        <s v="T-Shirt"/>
        <s v="Sunglasses"/>
        <s v="Boots"/>
        <s v="Sneakers"/>
        <s v="Sandals"/>
      </sharedItems>
    </cacheField>
    <cacheField name="Units Sold" numFmtId="0">
      <sharedItems containsSemiMixedTypes="0" containsString="0" containsNumber="1" containsInteger="1" minValue="1" maxValue="5"/>
    </cacheField>
    <cacheField name="Unit Price" numFmtId="164">
      <sharedItems/>
    </cacheField>
    <cacheField name="Total Sale" numFmtId="164">
      <sharedItems containsSemiMixedTypes="0" containsString="0" containsNumber="1" containsInteger="1" minValue="25" maxValue="500" count="29">
        <n v="180"/>
        <n v="35"/>
        <n v="125"/>
        <n v="300"/>
        <n v="70"/>
        <n v="80"/>
        <n v="250"/>
        <n v="500"/>
        <n v="120"/>
        <n v="25"/>
        <n v="175"/>
        <n v="270"/>
        <n v="450"/>
        <n v="200"/>
        <n v="105"/>
        <n v="75"/>
        <n v="225"/>
        <n v="360"/>
        <n v="50"/>
        <n v="45"/>
        <n v="60"/>
        <n v="150"/>
        <n v="100"/>
        <n v="240"/>
        <n v="400"/>
        <n v="140"/>
        <n v="135"/>
        <n v="375"/>
        <n v="90"/>
      </sharedItems>
    </cacheField>
    <cacheField name="Days (Date)" numFmtId="0" databaseField="0">
      <fieldGroup base="0">
        <rangePr groupBy="days" startDate="2025-01-02T00:00:00" endDate="2025-04-29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29/2025"/>
        </groupItems>
      </fieldGroup>
    </cacheField>
    <cacheField name="Months (Date)" numFmtId="0" databaseField="0">
      <fieldGroup base="0">
        <rangePr groupBy="months" startDate="2025-01-02T00:00:00" endDate="2025-04-29T00:00:00"/>
        <groupItems count="14">
          <s v="&lt;1/2/2025"/>
          <s v="Jan"/>
          <s v="Feb"/>
          <s v="Mar"/>
          <s v="Apr"/>
          <s v="May"/>
          <s v="Jun"/>
          <s v="Jul"/>
          <s v="Aug"/>
          <s v="Sep"/>
          <s v="Oct"/>
          <s v="Nov"/>
          <s v="Dec"/>
          <s v="&gt;4/29/2025"/>
        </groupItems>
      </fieldGroup>
    </cacheField>
  </cacheFields>
  <extLst>
    <ext xmlns:x14="http://schemas.microsoft.com/office/spreadsheetml/2009/9/main" uri="{725AE2AE-9491-48be-B2B4-4EB974FC3084}">
      <x14:pivotCacheDefinition pivotCacheId="12791851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Mayaka" refreshedDate="45788.974083217596" backgroundQuery="1" createdVersion="8" refreshedVersion="8" minRefreshableVersion="3" recordCount="0" supportSubquery="1" supportAdvancedDrill="1" xr:uid="{BF7F7CE2-8AD7-440B-8E89-78AAFD76D424}">
  <cacheSource type="external" connectionId="1"/>
  <cacheFields count="5">
    <cacheField name="[Table].[Region].[Region]" caption="Region" numFmtId="0" hierarchy="2" level="1">
      <sharedItems count="4">
        <s v="East"/>
        <s v="North"/>
        <s v="South"/>
        <s v="West"/>
      </sharedItems>
    </cacheField>
    <cacheField name="[Measures].[Sum of Total Sale]" caption="Sum of Total Sale" numFmtId="0" hierarchy="11" level="32767"/>
    <cacheField name="[Table].[Employee Name].[Employee Name]" caption="Employee Name" numFmtId="0" hierarchy="1" level="1">
      <sharedItems count="10">
        <s v="Ava Martin"/>
        <s v="Isabella White"/>
        <s v="Jackson Lee"/>
        <s v="Liam Davis"/>
        <s v="Mason Brown"/>
        <s v="Noah Smith"/>
        <s v="Olivia Johnson"/>
        <s v="Sophia Allen"/>
        <s v="Elijah Harris"/>
        <s v="Emma Wilson"/>
      </sharedItems>
    </cacheField>
    <cacheField name="[Table].[Product Category].[Product Category]" caption="Product Category" numFmtId="0" hierarchy="3" level="1">
      <sharedItems count="3">
        <s v="Accessories"/>
        <s v="Footwear"/>
        <s v="Apparel"/>
      </sharedItems>
    </cacheField>
    <cacheField name="[Measures].[Count of Units Sold]" caption="Count of Units Sold" numFmtId="0" hierarchy="14" level="32767"/>
  </cacheFields>
  <cacheHierarchies count="16">
    <cacheHierarchy uniqueName="[Table].[Date]" caption="Date" attribute="1" time="1" defaultMemberUniqueName="[Table].[Date].[All]" allUniqueName="[Table].[Date].[All]" dimensionUniqueName="[Table]" displayFolder="" count="2" memberValueDatatype="7" unbalanced="0"/>
    <cacheHierarchy uniqueName="[Table].[Employee Name]" caption="Employee Name" attribute="1" defaultMemberUniqueName="[Table].[Employee Name].[All]" allUniqueName="[Table].[Employee Name].[All]" dimensionUniqueName="[Table]" displayFolder="" count="2" memberValueDatatype="130" unbalanced="0">
      <fieldsUsage count="2">
        <fieldUsage x="-1"/>
        <fieldUsage x="2"/>
      </fieldsUsage>
    </cacheHierarchy>
    <cacheHierarchy uniqueName="[Table].[Region]" caption="Region" attribute="1" defaultMemberUniqueName="[Table].[Region].[All]" allUniqueName="[Table].[Region].[All]" dimensionUniqueName="[Table]" displayFolder="" count="2" memberValueDatatype="130" unbalanced="0">
      <fieldsUsage count="2">
        <fieldUsage x="-1"/>
        <fieldUsage x="0"/>
      </fieldsUsage>
    </cacheHierarchy>
    <cacheHierarchy uniqueName="[Table].[Product Category]" caption="Product Category" attribute="1" defaultMemberUniqueName="[Table].[Product Category].[All]" allUniqueName="[Table].[Product Category].[All]" dimensionUniqueName="[Table]" displayFolder="" count="2" memberValueDatatype="130" unbalanced="0">
      <fieldsUsage count="2">
        <fieldUsage x="-1"/>
        <fieldUsage x="3"/>
      </fieldsUsage>
    </cacheHierarchy>
    <cacheHierarchy uniqueName="[Table].[Product]" caption="Product" attribute="1" defaultMemberUniqueName="[Table].[Product].[All]" allUniqueName="[Table].[Product].[All]" dimensionUniqueName="[Table]" displayFolder="" count="2" memberValueDatatype="130" unbalanced="0"/>
    <cacheHierarchy uniqueName="[Table].[Units Sold]" caption="Units Sold" attribute="1" defaultMemberUniqueName="[Table].[Units Sold].[All]" allUniqueName="[Table].[Units Sold].[All]" dimensionUniqueName="[Table]" displayFolder="" count="2" memberValueDatatype="20" unbalanced="0"/>
    <cacheHierarchy uniqueName="[Table].[Unit Price]" caption="Unit Price" attribute="1" defaultMemberUniqueName="[Table].[Unit Price].[All]" allUniqueName="[Table].[Unit Price].[All]" dimensionUniqueName="[Table]" displayFolder="" count="2" memberValueDatatype="130" unbalanced="0"/>
    <cacheHierarchy uniqueName="[Table].[Total Sale]" caption="Total Sale" attribute="1" defaultMemberUniqueName="[Table].[Total Sale].[All]" allUniqueName="[Table].[Total Sale].[All]" dimensionUniqueName="[Table]" displayFolder="" count="2" memberValueDatatype="20" unbalanced="0"/>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Count of Total Sale]" caption="Count of Total Sale" measure="1" displayFolder="" measureGroup="Table" count="0" hidden="1">
      <extLst>
        <ext xmlns:x15="http://schemas.microsoft.com/office/spreadsheetml/2010/11/main" uri="{B97F6D7D-B522-45F9-BDA1-12C45D357490}">
          <x15:cacheHierarchy aggregatedColumn="7"/>
        </ext>
      </extLst>
    </cacheHierarchy>
    <cacheHierarchy uniqueName="[Measures].[Sum of Total Sale]" caption="Sum of Total Sale" measure="1" displayFolder="" measureGroup="Tabl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 count="0" hidden="1">
      <extLst>
        <ext xmlns:x15="http://schemas.microsoft.com/office/spreadsheetml/2010/11/main" uri="{B97F6D7D-B522-45F9-BDA1-12C45D357490}">
          <x15:cacheHierarchy aggregatedColumn="5"/>
        </ext>
      </extLst>
    </cacheHierarchy>
    <cacheHierarchy uniqueName="[Measures].[Average of Units Sold]" caption="Average of Units Sold" measure="1" displayFolder="" measureGroup="Table" count="0" hidden="1">
      <extLst>
        <ext xmlns:x15="http://schemas.microsoft.com/office/spreadsheetml/2010/11/main" uri="{B97F6D7D-B522-45F9-BDA1-12C45D357490}">
          <x15:cacheHierarchy aggregatedColumn="5"/>
        </ext>
      </extLst>
    </cacheHierarchy>
    <cacheHierarchy uniqueName="[Measures].[Count of Units Sold]" caption="Count of Units Sold" measure="1" displayFolder="" measureGroup="Table"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Tabl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 uniqueName="[Table]" caption="Table"/>
  </dimensions>
  <measureGroups count="1">
    <measureGroup name="Table" caption="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Mayaka" refreshedDate="45788.939711458333" backgroundQuery="1" createdVersion="3" refreshedVersion="8" minRefreshableVersion="3" recordCount="0" supportSubquery="1" supportAdvancedDrill="1" xr:uid="{6443ACCF-F0EF-40DE-8781-A38ABE6A9F7D}">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Table].[Date]" caption="Date" attribute="1" time="1" defaultMemberUniqueName="[Table].[Date].[All]" allUniqueName="[Table].[Date].[All]" dimensionUniqueName="[Table]" displayFolder="" count="0" memberValueDatatype="7" unbalanced="0"/>
    <cacheHierarchy uniqueName="[Table].[Employee Name]" caption="Employee Name" attribute="1" defaultMemberUniqueName="[Table].[Employee Name].[All]" allUniqueName="[Table].[Employee Name].[All]" dimensionUniqueName="[Table]" displayFolder="" count="2" memberValueDatatype="130" unbalanced="0"/>
    <cacheHierarchy uniqueName="[Table].[Region]" caption="Region" attribute="1" defaultMemberUniqueName="[Table].[Region].[All]" allUniqueName="[Table].[Region].[All]" dimensionUniqueName="[Table]" displayFolder="" count="2" memberValueDatatype="130" unbalanced="0"/>
    <cacheHierarchy uniqueName="[Table].[Product Category]" caption="Product Category" attribute="1" defaultMemberUniqueName="[Table].[Product Category].[All]" allUniqueName="[Table].[Product Category].[All]" dimensionUniqueName="[Table]" displayFolder="" count="0" memberValueDatatype="130" unbalanced="0"/>
    <cacheHierarchy uniqueName="[Table].[Product]" caption="Product" attribute="1" defaultMemberUniqueName="[Table].[Product].[All]" allUniqueName="[Table].[Product].[All]" dimensionUniqueName="[Table]" displayFolder="" count="0" memberValueDatatype="130" unbalanced="0"/>
    <cacheHierarchy uniqueName="[Table].[Units Sold]" caption="Units Sold" attribute="1" defaultMemberUniqueName="[Table].[Units Sold].[All]" allUniqueName="[Table].[Units Sold].[All]" dimensionUniqueName="[Table]" displayFolder="" count="0" memberValueDatatype="20" unbalanced="0"/>
    <cacheHierarchy uniqueName="[Table].[Unit Price]" caption="Unit Price" attribute="1" defaultMemberUniqueName="[Table].[Unit Price].[All]" allUniqueName="[Table].[Unit Price].[All]" dimensionUniqueName="[Table]" displayFolder="" count="0" memberValueDatatype="130" unbalanced="0"/>
    <cacheHierarchy uniqueName="[Table].[Total Sale]" caption="Total Sale" attribute="1" defaultMemberUniqueName="[Table].[Total Sale].[All]" allUniqueName="[Table].[Total Sale].[All]" dimensionUniqueName="[Table]" displayFolder="" count="0" memberValueDatatype="20" unbalanced="0"/>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Count of Total Sale]" caption="Count of Total Sale" measure="1" displayFolder="" measureGroup="Table" count="0" hidden="1">
      <extLst>
        <ext xmlns:x15="http://schemas.microsoft.com/office/spreadsheetml/2010/11/main" uri="{B97F6D7D-B522-45F9-BDA1-12C45D357490}">
          <x15:cacheHierarchy aggregatedColumn="7"/>
        </ext>
      </extLst>
    </cacheHierarchy>
    <cacheHierarchy uniqueName="[Measures].[Sum of Total Sale]" caption="Sum of Total Sale" measure="1" displayFolder="" measureGroup="Table" count="0" hidden="1">
      <extLst>
        <ext xmlns:x15="http://schemas.microsoft.com/office/spreadsheetml/2010/11/main" uri="{B97F6D7D-B522-45F9-BDA1-12C45D357490}">
          <x15:cacheHierarchy aggregatedColumn="7"/>
        </ext>
      </extLst>
    </cacheHierarchy>
    <cacheHierarchy uniqueName="[Measures].[Sum of Units Sold]" caption="Sum of Units Sold" measure="1" displayFolder="" measureGroup="Table" count="0" hidden="1">
      <extLst>
        <ext xmlns:x15="http://schemas.microsoft.com/office/spreadsheetml/2010/11/main" uri="{B97F6D7D-B522-45F9-BDA1-12C45D357490}">
          <x15:cacheHierarchy aggregatedColumn="5"/>
        </ext>
      </extLst>
    </cacheHierarchy>
    <cacheHierarchy uniqueName="[Measures].[Average of Units Sold]" caption="Average of Units Sold" measure="1" displayFolder="" measureGroup="Table" count="0" hidden="1">
      <extLst>
        <ext xmlns:x15="http://schemas.microsoft.com/office/spreadsheetml/2010/11/main" uri="{B97F6D7D-B522-45F9-BDA1-12C45D357490}">
          <x15:cacheHierarchy aggregatedColumn="5"/>
        </ext>
      </extLst>
    </cacheHierarchy>
    <cacheHierarchy uniqueName="[Measures].[Count of Units Sold]" caption="Count of Units Sold" measure="1" displayFolder="" measureGroup="Tabl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Tabl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02326053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n v="4"/>
    <s v="$45.00"/>
    <x v="0"/>
  </r>
  <r>
    <x v="0"/>
    <x v="1"/>
    <x v="1"/>
    <x v="0"/>
    <x v="1"/>
    <n v="1"/>
    <s v="$35.00"/>
    <x v="1"/>
  </r>
  <r>
    <x v="1"/>
    <x v="0"/>
    <x v="0"/>
    <x v="1"/>
    <x v="2"/>
    <n v="5"/>
    <s v="$25.00"/>
    <x v="2"/>
  </r>
  <r>
    <x v="2"/>
    <x v="2"/>
    <x v="0"/>
    <x v="1"/>
    <x v="3"/>
    <n v="4"/>
    <s v="$75.00"/>
    <x v="3"/>
  </r>
  <r>
    <x v="3"/>
    <x v="3"/>
    <x v="2"/>
    <x v="0"/>
    <x v="1"/>
    <n v="2"/>
    <s v="$35.00"/>
    <x v="4"/>
  </r>
  <r>
    <x v="3"/>
    <x v="4"/>
    <x v="0"/>
    <x v="0"/>
    <x v="1"/>
    <n v="1"/>
    <s v="$35.00"/>
    <x v="1"/>
  </r>
  <r>
    <x v="4"/>
    <x v="0"/>
    <x v="1"/>
    <x v="0"/>
    <x v="4"/>
    <n v="4"/>
    <s v="$20.00"/>
    <x v="5"/>
  </r>
  <r>
    <x v="5"/>
    <x v="2"/>
    <x v="2"/>
    <x v="1"/>
    <x v="5"/>
    <n v="5"/>
    <s v="$50.00"/>
    <x v="6"/>
  </r>
  <r>
    <x v="5"/>
    <x v="5"/>
    <x v="0"/>
    <x v="0"/>
    <x v="0"/>
    <n v="4"/>
    <s v="$45.00"/>
    <x v="0"/>
  </r>
  <r>
    <x v="6"/>
    <x v="3"/>
    <x v="3"/>
    <x v="2"/>
    <x v="6"/>
    <n v="5"/>
    <s v="$100.00"/>
    <x v="7"/>
  </r>
  <r>
    <x v="7"/>
    <x v="2"/>
    <x v="1"/>
    <x v="2"/>
    <x v="7"/>
    <n v="2"/>
    <s v="$90.00"/>
    <x v="0"/>
  </r>
  <r>
    <x v="8"/>
    <x v="2"/>
    <x v="3"/>
    <x v="2"/>
    <x v="8"/>
    <n v="2"/>
    <s v="$60.00"/>
    <x v="8"/>
  </r>
  <r>
    <x v="8"/>
    <x v="0"/>
    <x v="3"/>
    <x v="1"/>
    <x v="2"/>
    <n v="1"/>
    <s v="$25.00"/>
    <x v="9"/>
  </r>
  <r>
    <x v="9"/>
    <x v="0"/>
    <x v="2"/>
    <x v="0"/>
    <x v="1"/>
    <n v="5"/>
    <s v="$35.00"/>
    <x v="10"/>
  </r>
  <r>
    <x v="10"/>
    <x v="6"/>
    <x v="0"/>
    <x v="2"/>
    <x v="6"/>
    <n v="5"/>
    <s v="$100.00"/>
    <x v="7"/>
  </r>
  <r>
    <x v="11"/>
    <x v="7"/>
    <x v="0"/>
    <x v="2"/>
    <x v="7"/>
    <n v="3"/>
    <s v="$90.00"/>
    <x v="11"/>
  </r>
  <r>
    <x v="11"/>
    <x v="7"/>
    <x v="2"/>
    <x v="0"/>
    <x v="0"/>
    <n v="4"/>
    <s v="$45.00"/>
    <x v="0"/>
  </r>
  <r>
    <x v="12"/>
    <x v="1"/>
    <x v="2"/>
    <x v="2"/>
    <x v="7"/>
    <n v="5"/>
    <s v="$90.00"/>
    <x v="12"/>
  </r>
  <r>
    <x v="12"/>
    <x v="8"/>
    <x v="2"/>
    <x v="1"/>
    <x v="5"/>
    <n v="4"/>
    <s v="$50.00"/>
    <x v="13"/>
  </r>
  <r>
    <x v="12"/>
    <x v="8"/>
    <x v="2"/>
    <x v="0"/>
    <x v="1"/>
    <n v="3"/>
    <s v="$35.00"/>
    <x v="14"/>
  </r>
  <r>
    <x v="13"/>
    <x v="1"/>
    <x v="1"/>
    <x v="0"/>
    <x v="4"/>
    <n v="4"/>
    <s v="$20.00"/>
    <x v="5"/>
  </r>
  <r>
    <x v="13"/>
    <x v="8"/>
    <x v="1"/>
    <x v="1"/>
    <x v="3"/>
    <n v="1"/>
    <s v="$75.00"/>
    <x v="15"/>
  </r>
  <r>
    <x v="14"/>
    <x v="4"/>
    <x v="3"/>
    <x v="0"/>
    <x v="0"/>
    <n v="5"/>
    <s v="$45.00"/>
    <x v="16"/>
  </r>
  <r>
    <x v="14"/>
    <x v="6"/>
    <x v="1"/>
    <x v="2"/>
    <x v="7"/>
    <n v="4"/>
    <s v="$90.00"/>
    <x v="17"/>
  </r>
  <r>
    <x v="14"/>
    <x v="9"/>
    <x v="1"/>
    <x v="1"/>
    <x v="2"/>
    <n v="5"/>
    <s v="$25.00"/>
    <x v="2"/>
  </r>
  <r>
    <x v="15"/>
    <x v="7"/>
    <x v="1"/>
    <x v="2"/>
    <x v="7"/>
    <n v="2"/>
    <s v="$90.00"/>
    <x v="0"/>
  </r>
  <r>
    <x v="15"/>
    <x v="3"/>
    <x v="3"/>
    <x v="1"/>
    <x v="5"/>
    <n v="1"/>
    <s v="$50.00"/>
    <x v="18"/>
  </r>
  <r>
    <x v="16"/>
    <x v="5"/>
    <x v="2"/>
    <x v="0"/>
    <x v="0"/>
    <n v="1"/>
    <s v="$45.00"/>
    <x v="19"/>
  </r>
  <r>
    <x v="17"/>
    <x v="4"/>
    <x v="1"/>
    <x v="2"/>
    <x v="6"/>
    <n v="5"/>
    <s v="$100.00"/>
    <x v="7"/>
  </r>
  <r>
    <x v="17"/>
    <x v="1"/>
    <x v="2"/>
    <x v="1"/>
    <x v="2"/>
    <n v="1"/>
    <s v="$25.00"/>
    <x v="9"/>
  </r>
  <r>
    <x v="18"/>
    <x v="9"/>
    <x v="0"/>
    <x v="2"/>
    <x v="8"/>
    <n v="5"/>
    <s v="$60.00"/>
    <x v="3"/>
  </r>
  <r>
    <x v="18"/>
    <x v="2"/>
    <x v="0"/>
    <x v="0"/>
    <x v="4"/>
    <n v="3"/>
    <s v="$20.00"/>
    <x v="20"/>
  </r>
  <r>
    <x v="19"/>
    <x v="0"/>
    <x v="0"/>
    <x v="1"/>
    <x v="2"/>
    <n v="3"/>
    <s v="$25.00"/>
    <x v="15"/>
  </r>
  <r>
    <x v="20"/>
    <x v="7"/>
    <x v="3"/>
    <x v="1"/>
    <x v="3"/>
    <n v="2"/>
    <s v="$75.00"/>
    <x v="21"/>
  </r>
  <r>
    <x v="21"/>
    <x v="5"/>
    <x v="0"/>
    <x v="1"/>
    <x v="5"/>
    <n v="1"/>
    <s v="$50.00"/>
    <x v="18"/>
  </r>
  <r>
    <x v="21"/>
    <x v="9"/>
    <x v="2"/>
    <x v="1"/>
    <x v="5"/>
    <n v="4"/>
    <s v="$50.00"/>
    <x v="13"/>
  </r>
  <r>
    <x v="22"/>
    <x v="6"/>
    <x v="1"/>
    <x v="1"/>
    <x v="2"/>
    <n v="4"/>
    <s v="$25.00"/>
    <x v="22"/>
  </r>
  <r>
    <x v="23"/>
    <x v="2"/>
    <x v="2"/>
    <x v="2"/>
    <x v="6"/>
    <n v="1"/>
    <s v="$100.00"/>
    <x v="22"/>
  </r>
  <r>
    <x v="23"/>
    <x v="9"/>
    <x v="3"/>
    <x v="2"/>
    <x v="7"/>
    <n v="4"/>
    <s v="$90.00"/>
    <x v="17"/>
  </r>
  <r>
    <x v="24"/>
    <x v="4"/>
    <x v="1"/>
    <x v="2"/>
    <x v="8"/>
    <n v="3"/>
    <s v="$60.00"/>
    <x v="0"/>
  </r>
  <r>
    <x v="24"/>
    <x v="1"/>
    <x v="1"/>
    <x v="2"/>
    <x v="6"/>
    <n v="5"/>
    <s v="$100.00"/>
    <x v="7"/>
  </r>
  <r>
    <x v="25"/>
    <x v="2"/>
    <x v="3"/>
    <x v="1"/>
    <x v="2"/>
    <n v="1"/>
    <s v="$25.00"/>
    <x v="9"/>
  </r>
  <r>
    <x v="25"/>
    <x v="7"/>
    <x v="3"/>
    <x v="2"/>
    <x v="6"/>
    <n v="5"/>
    <s v="$100.00"/>
    <x v="7"/>
  </r>
  <r>
    <x v="26"/>
    <x v="6"/>
    <x v="3"/>
    <x v="2"/>
    <x v="6"/>
    <n v="1"/>
    <s v="$100.00"/>
    <x v="22"/>
  </r>
  <r>
    <x v="27"/>
    <x v="5"/>
    <x v="1"/>
    <x v="0"/>
    <x v="1"/>
    <n v="3"/>
    <s v="$35.00"/>
    <x v="14"/>
  </r>
  <r>
    <x v="28"/>
    <x v="3"/>
    <x v="3"/>
    <x v="0"/>
    <x v="1"/>
    <n v="2"/>
    <s v="$35.00"/>
    <x v="4"/>
  </r>
  <r>
    <x v="29"/>
    <x v="8"/>
    <x v="3"/>
    <x v="1"/>
    <x v="5"/>
    <n v="5"/>
    <s v="$50.00"/>
    <x v="6"/>
  </r>
  <r>
    <x v="29"/>
    <x v="6"/>
    <x v="0"/>
    <x v="1"/>
    <x v="3"/>
    <n v="1"/>
    <s v="$75.00"/>
    <x v="15"/>
  </r>
  <r>
    <x v="30"/>
    <x v="5"/>
    <x v="1"/>
    <x v="2"/>
    <x v="8"/>
    <n v="4"/>
    <s v="$60.00"/>
    <x v="23"/>
  </r>
  <r>
    <x v="30"/>
    <x v="2"/>
    <x v="1"/>
    <x v="1"/>
    <x v="5"/>
    <n v="1"/>
    <s v="$50.00"/>
    <x v="18"/>
  </r>
  <r>
    <x v="30"/>
    <x v="9"/>
    <x v="3"/>
    <x v="1"/>
    <x v="5"/>
    <n v="4"/>
    <s v="$50.00"/>
    <x v="13"/>
  </r>
  <r>
    <x v="30"/>
    <x v="9"/>
    <x v="3"/>
    <x v="1"/>
    <x v="3"/>
    <n v="4"/>
    <s v="$75.00"/>
    <x v="3"/>
  </r>
  <r>
    <x v="31"/>
    <x v="5"/>
    <x v="1"/>
    <x v="2"/>
    <x v="6"/>
    <n v="4"/>
    <s v="$100.00"/>
    <x v="24"/>
  </r>
  <r>
    <x v="32"/>
    <x v="7"/>
    <x v="0"/>
    <x v="0"/>
    <x v="1"/>
    <n v="1"/>
    <s v="$35.00"/>
    <x v="1"/>
  </r>
  <r>
    <x v="32"/>
    <x v="6"/>
    <x v="0"/>
    <x v="2"/>
    <x v="6"/>
    <n v="4"/>
    <s v="$100.00"/>
    <x v="24"/>
  </r>
  <r>
    <x v="33"/>
    <x v="7"/>
    <x v="2"/>
    <x v="1"/>
    <x v="2"/>
    <n v="3"/>
    <s v="$25.00"/>
    <x v="15"/>
  </r>
  <r>
    <x v="34"/>
    <x v="9"/>
    <x v="0"/>
    <x v="0"/>
    <x v="4"/>
    <n v="5"/>
    <s v="$20.00"/>
    <x v="22"/>
  </r>
  <r>
    <x v="35"/>
    <x v="1"/>
    <x v="0"/>
    <x v="0"/>
    <x v="0"/>
    <n v="5"/>
    <s v="$45.00"/>
    <x v="16"/>
  </r>
  <r>
    <x v="35"/>
    <x v="5"/>
    <x v="2"/>
    <x v="1"/>
    <x v="5"/>
    <n v="1"/>
    <s v="$50.00"/>
    <x v="18"/>
  </r>
  <r>
    <x v="36"/>
    <x v="5"/>
    <x v="3"/>
    <x v="2"/>
    <x v="6"/>
    <n v="5"/>
    <s v="$100.00"/>
    <x v="7"/>
  </r>
  <r>
    <x v="36"/>
    <x v="3"/>
    <x v="3"/>
    <x v="1"/>
    <x v="3"/>
    <n v="1"/>
    <s v="$75.00"/>
    <x v="15"/>
  </r>
  <r>
    <x v="36"/>
    <x v="2"/>
    <x v="3"/>
    <x v="1"/>
    <x v="5"/>
    <n v="5"/>
    <s v="$50.00"/>
    <x v="6"/>
  </r>
  <r>
    <x v="37"/>
    <x v="1"/>
    <x v="0"/>
    <x v="0"/>
    <x v="4"/>
    <n v="5"/>
    <s v="$20.00"/>
    <x v="22"/>
  </r>
  <r>
    <x v="38"/>
    <x v="3"/>
    <x v="3"/>
    <x v="2"/>
    <x v="6"/>
    <n v="2"/>
    <s v="$100.00"/>
    <x v="13"/>
  </r>
  <r>
    <x v="39"/>
    <x v="8"/>
    <x v="1"/>
    <x v="2"/>
    <x v="6"/>
    <n v="5"/>
    <s v="$100.00"/>
    <x v="7"/>
  </r>
  <r>
    <x v="40"/>
    <x v="3"/>
    <x v="1"/>
    <x v="0"/>
    <x v="1"/>
    <n v="4"/>
    <s v="$35.00"/>
    <x v="25"/>
  </r>
  <r>
    <x v="40"/>
    <x v="5"/>
    <x v="2"/>
    <x v="2"/>
    <x v="6"/>
    <n v="5"/>
    <s v="$100.00"/>
    <x v="7"/>
  </r>
  <r>
    <x v="41"/>
    <x v="2"/>
    <x v="1"/>
    <x v="2"/>
    <x v="8"/>
    <n v="3"/>
    <s v="$60.00"/>
    <x v="0"/>
  </r>
  <r>
    <x v="42"/>
    <x v="8"/>
    <x v="2"/>
    <x v="2"/>
    <x v="6"/>
    <n v="5"/>
    <s v="$100.00"/>
    <x v="7"/>
  </r>
  <r>
    <x v="43"/>
    <x v="6"/>
    <x v="1"/>
    <x v="2"/>
    <x v="7"/>
    <n v="4"/>
    <s v="$90.00"/>
    <x v="17"/>
  </r>
  <r>
    <x v="44"/>
    <x v="9"/>
    <x v="2"/>
    <x v="0"/>
    <x v="4"/>
    <n v="4"/>
    <s v="$20.00"/>
    <x v="5"/>
  </r>
  <r>
    <x v="45"/>
    <x v="1"/>
    <x v="0"/>
    <x v="1"/>
    <x v="3"/>
    <n v="1"/>
    <s v="$75.00"/>
    <x v="15"/>
  </r>
  <r>
    <x v="45"/>
    <x v="6"/>
    <x v="0"/>
    <x v="0"/>
    <x v="4"/>
    <n v="3"/>
    <s v="$20.00"/>
    <x v="20"/>
  </r>
  <r>
    <x v="46"/>
    <x v="4"/>
    <x v="0"/>
    <x v="0"/>
    <x v="1"/>
    <n v="3"/>
    <s v="$35.00"/>
    <x v="14"/>
  </r>
  <r>
    <x v="47"/>
    <x v="0"/>
    <x v="2"/>
    <x v="1"/>
    <x v="3"/>
    <n v="3"/>
    <s v="$75.00"/>
    <x v="16"/>
  </r>
  <r>
    <x v="48"/>
    <x v="7"/>
    <x v="0"/>
    <x v="1"/>
    <x v="5"/>
    <n v="3"/>
    <s v="$50.00"/>
    <x v="21"/>
  </r>
  <r>
    <x v="49"/>
    <x v="0"/>
    <x v="1"/>
    <x v="0"/>
    <x v="4"/>
    <n v="5"/>
    <s v="$20.00"/>
    <x v="22"/>
  </r>
  <r>
    <x v="49"/>
    <x v="9"/>
    <x v="1"/>
    <x v="1"/>
    <x v="2"/>
    <n v="5"/>
    <s v="$25.00"/>
    <x v="2"/>
  </r>
  <r>
    <x v="49"/>
    <x v="1"/>
    <x v="1"/>
    <x v="2"/>
    <x v="8"/>
    <n v="2"/>
    <s v="$60.00"/>
    <x v="8"/>
  </r>
  <r>
    <x v="50"/>
    <x v="2"/>
    <x v="3"/>
    <x v="2"/>
    <x v="8"/>
    <n v="1"/>
    <s v="$60.00"/>
    <x v="20"/>
  </r>
  <r>
    <x v="51"/>
    <x v="5"/>
    <x v="1"/>
    <x v="0"/>
    <x v="0"/>
    <n v="3"/>
    <s v="$45.00"/>
    <x v="26"/>
  </r>
  <r>
    <x v="51"/>
    <x v="0"/>
    <x v="1"/>
    <x v="2"/>
    <x v="8"/>
    <n v="3"/>
    <s v="$60.00"/>
    <x v="0"/>
  </r>
  <r>
    <x v="51"/>
    <x v="0"/>
    <x v="3"/>
    <x v="0"/>
    <x v="4"/>
    <n v="5"/>
    <s v="$20.00"/>
    <x v="22"/>
  </r>
  <r>
    <x v="52"/>
    <x v="7"/>
    <x v="0"/>
    <x v="1"/>
    <x v="2"/>
    <n v="2"/>
    <s v="$25.00"/>
    <x v="18"/>
  </r>
  <r>
    <x v="53"/>
    <x v="8"/>
    <x v="3"/>
    <x v="2"/>
    <x v="8"/>
    <n v="4"/>
    <s v="$60.00"/>
    <x v="23"/>
  </r>
  <r>
    <x v="54"/>
    <x v="3"/>
    <x v="2"/>
    <x v="2"/>
    <x v="7"/>
    <n v="4"/>
    <s v="$90.00"/>
    <x v="17"/>
  </r>
  <r>
    <x v="54"/>
    <x v="3"/>
    <x v="3"/>
    <x v="2"/>
    <x v="7"/>
    <n v="2"/>
    <s v="$90.00"/>
    <x v="0"/>
  </r>
  <r>
    <x v="55"/>
    <x v="1"/>
    <x v="1"/>
    <x v="1"/>
    <x v="5"/>
    <n v="4"/>
    <s v="$50.00"/>
    <x v="13"/>
  </r>
  <r>
    <x v="56"/>
    <x v="8"/>
    <x v="1"/>
    <x v="1"/>
    <x v="2"/>
    <n v="1"/>
    <s v="$25.00"/>
    <x v="9"/>
  </r>
  <r>
    <x v="57"/>
    <x v="1"/>
    <x v="3"/>
    <x v="2"/>
    <x v="6"/>
    <n v="1"/>
    <s v="$100.00"/>
    <x v="22"/>
  </r>
  <r>
    <x v="57"/>
    <x v="1"/>
    <x v="0"/>
    <x v="1"/>
    <x v="3"/>
    <n v="2"/>
    <s v="$75.00"/>
    <x v="21"/>
  </r>
  <r>
    <x v="58"/>
    <x v="3"/>
    <x v="2"/>
    <x v="2"/>
    <x v="7"/>
    <n v="2"/>
    <s v="$90.00"/>
    <x v="0"/>
  </r>
  <r>
    <x v="58"/>
    <x v="6"/>
    <x v="1"/>
    <x v="0"/>
    <x v="1"/>
    <n v="4"/>
    <s v="$35.00"/>
    <x v="25"/>
  </r>
  <r>
    <x v="58"/>
    <x v="2"/>
    <x v="3"/>
    <x v="1"/>
    <x v="3"/>
    <n v="5"/>
    <s v="$75.00"/>
    <x v="27"/>
  </r>
  <r>
    <x v="59"/>
    <x v="3"/>
    <x v="2"/>
    <x v="1"/>
    <x v="2"/>
    <n v="3"/>
    <s v="$25.00"/>
    <x v="15"/>
  </r>
  <r>
    <x v="60"/>
    <x v="2"/>
    <x v="2"/>
    <x v="0"/>
    <x v="0"/>
    <n v="2"/>
    <s v="$45.00"/>
    <x v="28"/>
  </r>
  <r>
    <x v="60"/>
    <x v="4"/>
    <x v="0"/>
    <x v="1"/>
    <x v="3"/>
    <n v="3"/>
    <s v="$75.00"/>
    <x v="16"/>
  </r>
  <r>
    <x v="61"/>
    <x v="9"/>
    <x v="0"/>
    <x v="2"/>
    <x v="6"/>
    <n v="5"/>
    <s v="$100.00"/>
    <x v="7"/>
  </r>
  <r>
    <x v="62"/>
    <x v="0"/>
    <x v="1"/>
    <x v="1"/>
    <x v="5"/>
    <n v="5"/>
    <s v="$50.00"/>
    <x v="6"/>
  </r>
  <r>
    <x v="62"/>
    <x v="3"/>
    <x v="2"/>
    <x v="2"/>
    <x v="6"/>
    <n v="3"/>
    <s v="$1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95D6B-C5EA-47A4-9A40-CD4251D96006}" name="PivotTable2" cacheId="488"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chartFormat="3">
  <location ref="A3:E48" firstHeaderRow="0" firstDataRow="1" firstDataCol="3"/>
  <pivotFields count="5">
    <pivotField axis="axisRow" compact="0" allDrilled="1" subtotalTop="0" showAll="0" dataSourceSort="1" defaultAttributeDrillState="1">
      <items count="5">
        <item x="0"/>
        <item x="1"/>
        <item x="2"/>
        <item x="3"/>
        <item t="default"/>
      </items>
    </pivotField>
    <pivotField dataField="1" compact="0" showAll="0" defaultSubtotal="0"/>
    <pivotField axis="axisRow" compact="0" allDrilled="1" subtotalTop="0" showAll="0" sortType="ascending">
      <items count="11">
        <item x="0" e="0"/>
        <item x="1" e="0"/>
        <item x="2" e="0"/>
        <item x="3" e="0"/>
        <item x="4" e="0"/>
        <item x="5" e="0"/>
        <item x="6" e="0"/>
        <item x="7" e="0"/>
        <item x="8" e="0"/>
        <item x="9" e="0"/>
        <item t="default"/>
      </items>
      <autoSortScope>
        <pivotArea dataOnly="0" outline="0" fieldPosition="0">
          <references count="1">
            <reference field="4294967294" count="1" selected="0">
              <x v="1"/>
            </reference>
          </references>
        </pivotArea>
      </autoSortScope>
    </pivotField>
    <pivotField axis="axisRow" compact="0" allDrilled="1" subtotalTop="0" showAll="0" dataSourceSort="1" defaultAttributeDrillState="1">
      <items count="4">
        <item x="0"/>
        <item x="1"/>
        <item x="2"/>
        <item t="default"/>
      </items>
    </pivotField>
    <pivotField dataField="1" compact="0" showAll="0" defaultSubtotal="0"/>
  </pivotFields>
  <rowFields count="3">
    <field x="0"/>
    <field x="2"/>
    <field x="3"/>
  </rowFields>
  <rowItems count="45">
    <i>
      <x/>
    </i>
    <i r="1">
      <x v="7"/>
    </i>
    <i r="1">
      <x v="6"/>
    </i>
    <i r="1">
      <x v="1"/>
    </i>
    <i r="1">
      <x/>
    </i>
    <i r="1">
      <x v="2"/>
    </i>
    <i r="1">
      <x v="5"/>
    </i>
    <i r="1">
      <x v="4"/>
    </i>
    <i r="1">
      <x v="3"/>
    </i>
    <i t="default">
      <x/>
    </i>
    <i>
      <x v="1"/>
    </i>
    <i r="1">
      <x v="5"/>
    </i>
    <i r="1">
      <x/>
    </i>
    <i r="1">
      <x v="8"/>
    </i>
    <i r="1">
      <x v="1"/>
    </i>
    <i r="1">
      <x v="7"/>
    </i>
    <i r="1">
      <x v="2"/>
    </i>
    <i r="1">
      <x v="6"/>
    </i>
    <i r="1">
      <x v="9"/>
    </i>
    <i t="default">
      <x v="1"/>
    </i>
    <i>
      <x v="2"/>
    </i>
    <i r="1">
      <x v="2"/>
    </i>
    <i r="1">
      <x v="9"/>
    </i>
    <i r="1">
      <x v="1"/>
    </i>
    <i r="1">
      <x v="8"/>
    </i>
    <i r="1">
      <x v="4"/>
    </i>
    <i r="1">
      <x v="5"/>
    </i>
    <i r="1">
      <x v="7"/>
    </i>
    <i r="1">
      <x/>
    </i>
    <i r="1">
      <x v="6"/>
    </i>
    <i r="1">
      <x v="3"/>
    </i>
    <i t="default">
      <x v="2"/>
    </i>
    <i>
      <x v="3"/>
    </i>
    <i r="1">
      <x v="3"/>
    </i>
    <i r="1">
      <x v="7"/>
    </i>
    <i r="1">
      <x v="6"/>
    </i>
    <i r="1">
      <x/>
    </i>
    <i r="1">
      <x v="4"/>
    </i>
    <i r="1">
      <x v="1"/>
    </i>
    <i r="1">
      <x v="8"/>
    </i>
    <i r="1">
      <x v="5"/>
    </i>
    <i r="1">
      <x v="2"/>
    </i>
    <i r="1">
      <x v="9"/>
    </i>
    <i t="default">
      <x v="3"/>
    </i>
    <i t="grand">
      <x/>
    </i>
  </rowItems>
  <colFields count="1">
    <field x="-2"/>
  </colFields>
  <colItems count="2">
    <i>
      <x/>
    </i>
    <i i="1">
      <x v="1"/>
    </i>
  </colItems>
  <dataFields count="2">
    <dataField name="# of Units Sold" fld="4" subtotal="count" baseField="0" baseItem="0" numFmtId="1"/>
    <dataField name="Total Sale" fld="1" baseField="0" baseItem="0" numFmtId="170"/>
  </dataFields>
  <formats count="3">
    <format dxfId="2">
      <pivotArea outline="0" collapsedLevelsAreSubtotals="1" fieldPosition="0"/>
    </format>
    <format dxfId="3">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Total Sale"/>
    <pivotHierarchy dragToData="1"/>
    <pivotHierarchy dragToData="1" caption="Average of Units Sold"/>
    <pivotHierarchy dragToData="1" caption="# of Units Sold"/>
    <pivotHierarchy dragToData="1"/>
  </pivotHierarchies>
  <pivotTableStyleInfo name="PivotStyleLight16" showRowHeaders="1" showColHeaders="1" showRowStripes="1" showColStripes="0" showLastColumn="1"/>
  <rowHierarchiesUsage count="3">
    <rowHierarchyUsage hierarchyUsage="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shboard_Project.xlsx!Table">
        <x15:activeTabTopLevelEntity name="[Table]"/>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E11F8-FC60-4CE5-8701-D40BB94BCE24}" name="PivotTable10" cacheId="4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Employee Name">
  <location ref="I26:J37" firstHeaderRow="1" firstDataRow="1" firstDataCol="1"/>
  <pivotFields count="10">
    <pivotField numFmtId="14"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axis="axisRow" showAll="0" sortType="ascending">
      <items count="11">
        <item x="2"/>
        <item x="4"/>
        <item x="6"/>
        <item x="0"/>
        <item x="1"/>
        <item x="3"/>
        <item x="8"/>
        <item x="5"/>
        <item x="9"/>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1"/>
    </i>
    <i>
      <x v="3"/>
    </i>
    <i>
      <x v="9"/>
    </i>
    <i>
      <x v="6"/>
    </i>
    <i>
      <x/>
    </i>
    <i>
      <x v="4"/>
    </i>
    <i>
      <x v="2"/>
    </i>
    <i>
      <x v="5"/>
    </i>
    <i>
      <x v="7"/>
    </i>
    <i>
      <x v="8"/>
    </i>
    <i t="grand">
      <x/>
    </i>
  </rowItems>
  <colItems count="1">
    <i/>
  </colItems>
  <dataFields count="1">
    <dataField name="Sum of Total Sale" fld="7" baseField="0" baseItem="0" numFmtId="17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D2A802-39FA-4DEE-931B-9693B0B09501}" name="PivotTable4" cacheId="48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s">
  <location ref="A1:B6" firstHeaderRow="1" firstDataRow="1" firstDataCol="1"/>
  <pivotFields count="10">
    <pivotField numFmtId="14"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showAll="0"/>
    <pivotField showAll="0"/>
    <pivotField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h="1" sd="0" x="5"/>
        <item h="1" sd="0" x="6"/>
        <item h="1" sd="0" x="7"/>
        <item h="1" sd="0" x="8"/>
        <item h="1" sd="0" x="9"/>
        <item h="1" sd="0" x="10"/>
        <item h="1" sd="0" x="11"/>
        <item h="1" sd="0" x="12"/>
        <item sd="0" x="13"/>
        <item t="default"/>
      </items>
    </pivotField>
  </pivotFields>
  <rowFields count="1">
    <field x="9"/>
  </rowFields>
  <rowItems count="5">
    <i>
      <x v="1"/>
    </i>
    <i>
      <x v="2"/>
    </i>
    <i>
      <x v="3"/>
    </i>
    <i>
      <x v="4"/>
    </i>
    <i t="grand">
      <x/>
    </i>
  </rowItems>
  <colItems count="1">
    <i/>
  </colItems>
  <dataFields count="1">
    <dataField name="Sum of Total Sale" fld="7" baseField="9" baseItem="1" numFmtId="170"/>
  </dataFields>
  <formats count="1">
    <format dxfId="1">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2" name="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37B609-FEE6-41F1-A5A6-12D556DB4FE3}" name="PivotTable7" cacheId="4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1:B6" firstHeaderRow="1" firstDataRow="1" firstDataCol="1"/>
  <pivotFields count="10">
    <pivotField numFmtId="14"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axis="axisRow" showAll="0">
      <items count="5">
        <item x="2"/>
        <item x="0"/>
        <item x="3"/>
        <item x="1"/>
        <item t="default"/>
      </items>
    </pivotField>
    <pivotField showAll="0"/>
    <pivotField showAll="0"/>
    <pivotField showAll="0"/>
    <pivotField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Total Sale" fld="7" baseField="0" baseItem="0" numFmtId="170"/>
  </dataFields>
  <formats count="1">
    <format dxfId="5">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C870A-A758-4E33-9A47-511677197E8E}" name="PivotTable8" cacheId="4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1:B5" firstHeaderRow="1" firstDataRow="1" firstDataCol="1"/>
  <pivotFields count="10">
    <pivotField numFmtId="14"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axis="axisRow" showAll="0">
      <items count="4">
        <item x="1"/>
        <item x="0"/>
        <item x="2"/>
        <item t="default"/>
      </items>
    </pivotField>
    <pivotField showAll="0">
      <items count="10">
        <item x="2"/>
        <item x="6"/>
        <item x="1"/>
        <item x="0"/>
        <item x="8"/>
        <item x="7"/>
        <item x="5"/>
        <item x="4"/>
        <item x="3"/>
        <item t="default"/>
      </items>
    </pivotField>
    <pivotField showAll="0"/>
    <pivotField showAll="0"/>
    <pivotField dataField="1" numFmtId="164" showAll="0">
      <items count="30">
        <item x="9"/>
        <item x="1"/>
        <item x="19"/>
        <item x="18"/>
        <item x="20"/>
        <item x="4"/>
        <item x="15"/>
        <item x="5"/>
        <item x="28"/>
        <item x="22"/>
        <item x="14"/>
        <item x="8"/>
        <item x="2"/>
        <item x="26"/>
        <item x="25"/>
        <item x="21"/>
        <item x="10"/>
        <item x="0"/>
        <item x="13"/>
        <item x="16"/>
        <item x="23"/>
        <item x="6"/>
        <item x="11"/>
        <item x="3"/>
        <item x="17"/>
        <item x="27"/>
        <item x="24"/>
        <item x="12"/>
        <item x="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Total Sale" fld="7" baseField="0" baseItem="0" numFmtId="170"/>
  </dataFields>
  <formats count="1">
    <format dxfId="0">
      <pivotArea outline="0" collapsedLevelsAreSubtotals="1" fieldPosition="0"/>
    </format>
  </formats>
  <chartFormats count="8">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3" count="1" selected="0">
            <x v="0"/>
          </reference>
        </references>
      </pivotArea>
    </chartFormat>
    <chartFormat chart="13" format="11">
      <pivotArea type="data" outline="0" fieldPosition="0">
        <references count="2">
          <reference field="4294967294" count="1" selected="0">
            <x v="0"/>
          </reference>
          <reference field="3" count="1" selected="0">
            <x v="1"/>
          </reference>
        </references>
      </pivotArea>
    </chartFormat>
    <chartFormat chart="13" format="12">
      <pivotArea type="data" outline="0" fieldPosition="0">
        <references count="2">
          <reference field="4294967294" count="1" selected="0">
            <x v="0"/>
          </reference>
          <reference field="3" count="1" selected="0">
            <x v="2"/>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3" count="1" selected="0">
            <x v="0"/>
          </reference>
        </references>
      </pivotArea>
    </chartFormat>
    <chartFormat chart="14" format="3">
      <pivotArea type="data" outline="0" fieldPosition="0">
        <references count="2">
          <reference field="4294967294" count="1" selected="0">
            <x v="0"/>
          </reference>
          <reference field="3" count="1" selected="0">
            <x v="1"/>
          </reference>
        </references>
      </pivotArea>
    </chartFormat>
    <chartFormat chart="14"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0B746EDB-9D53-4785-BCB4-190D9EDCFE40}" sourceName="[Table].[Employee Name]">
  <pivotTables>
    <pivotTable tabId="2" name="PivotTable2"/>
  </pivotTables>
  <data>
    <olap pivotCacheId="2023260538">
      <levels count="2">
        <level uniqueName="[Table].[Employee Name].[(All)]" sourceCaption="(All)" count="0"/>
        <level uniqueName="[Table].[Employee Name].[Employee Name]" sourceCaption="Employee Name" count="10">
          <ranges>
            <range startItem="0">
              <i n="[Table].[Employee Name].&amp;[Ava Martin]" c="Ava Martin"/>
              <i n="[Table].[Employee Name].&amp;[Elijah Harris]" c="Elijah Harris"/>
              <i n="[Table].[Employee Name].&amp;[Emma Wilson]" c="Emma Wilson"/>
              <i n="[Table].[Employee Name].&amp;[Isabella White]" c="Isabella White"/>
              <i n="[Table].[Employee Name].&amp;[Jackson Lee]" c="Jackson Lee"/>
              <i n="[Table].[Employee Name].&amp;[Liam Davis]" c="Liam Davis"/>
              <i n="[Table].[Employee Name].&amp;[Mason Brown]" c="Mason Brown"/>
              <i n="[Table].[Employee Name].&amp;[Noah Smith]" c="Noah Smith"/>
              <i n="[Table].[Employee Name].&amp;[Olivia Johnson]" c="Olivia Johnson"/>
              <i n="[Table].[Employee Name].&amp;[Sophia Allen]" c="Sophia Allen"/>
            </range>
          </ranges>
        </level>
      </levels>
      <selections count="1">
        <selection n="[Table].[Employe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84A71B-33ED-422C-80F6-620ABD89A8C0}" sourceName="[Table].[Region]">
  <pivotTables>
    <pivotTable tabId="2" name="PivotTable2"/>
  </pivotTables>
  <data>
    <olap pivotCacheId="2023260538">
      <levels count="2">
        <level uniqueName="[Table].[Region].[(All)]" sourceCaption="(All)" count="0"/>
        <level uniqueName="[Table].[Region].[Region]" sourceCaption="Region" count="4">
          <ranges>
            <range startItem="0">
              <i n="[Table].[Region].&amp;[East]" c="East"/>
              <i n="[Table].[Region].&amp;[North]" c="North"/>
              <i n="[Table].[Region].&amp;[South]" c="South"/>
              <i n="[Table].[Region].&amp;[West]" c="West"/>
            </range>
          </ranges>
        </level>
      </levels>
      <selections count="1">
        <selection n="[Tabl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7B36CE66-7090-44E4-A6DD-20D3E7BBEF8E}" cache="Slicer_Employee_Name" caption="Employee Name" level="1" rowHeight="241300"/>
  <slicer name="Region" xr10:uid="{621A00CC-3AAE-437C-B6FE-FD5B59EE5DC3}"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03E84E-C614-45F4-8447-9715B381B12D}" name="Table" displayName="Table" ref="A8:H109" totalsRowCount="1">
  <autoFilter ref="A8:H108" xr:uid="{D003E84E-C614-45F4-8447-9715B381B12D}"/>
  <sortState xmlns:xlrd2="http://schemas.microsoft.com/office/spreadsheetml/2017/richdata2" ref="A9:H108">
    <sortCondition ref="A8:A108"/>
  </sortState>
  <tableColumns count="8">
    <tableColumn id="1" xr3:uid="{33FC652E-1202-4698-88F3-3FA0E5854BCE}" name="Date" totalsRowLabel="Total" dataDxfId="9"/>
    <tableColumn id="2" xr3:uid="{055A371A-5830-4068-A2EE-BAED4E559850}" name="Employee Name"/>
    <tableColumn id="3" xr3:uid="{E65F627A-8701-4EF5-BE35-8E613F270043}" name="Region"/>
    <tableColumn id="4" xr3:uid="{7640D5D3-3847-4204-AABC-AAE1C2915606}" name="Product Category"/>
    <tableColumn id="5" xr3:uid="{26772B59-C453-45E2-B315-FA799244D8D8}" name="Product"/>
    <tableColumn id="6" xr3:uid="{39A6F6B9-1992-4303-9F35-DC018C12899E}" name="Units Sold"/>
    <tableColumn id="7" xr3:uid="{34315013-13A0-4829-83E4-D2DD73FDEEDA}" name="Unit Price" dataDxfId="6" dataCellStyle="Currency"/>
    <tableColumn id="8" xr3:uid="{3F75CF21-EDF1-4188-AB02-204A8B2660F9}" name="Total Sale" totalsRowFunction="sum" dataDxfId="7" totalsRowDxfId="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4E93464-3E74-470F-B0B1-455CCD98AB00}" sourceName="Date">
  <pivotTables>
    <pivotTable tabId="4" name="PivotTable4"/>
  </pivotTables>
  <state minimalRefreshVersion="6" lastRefreshVersion="6" pivotCacheId="1279185100" filterType="dateBetween">
    <selection startDate="2025-01-01T00:00:00" endDate="2025-04-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071794D-666A-4C61-83EB-68CD07101BBB}" cache="NativeTimeline_Date" caption="Date" level="2"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9"/>
  <sheetViews>
    <sheetView tabSelected="1" workbookViewId="0">
      <selection activeCell="C6" sqref="C6"/>
    </sheetView>
  </sheetViews>
  <sheetFormatPr defaultRowHeight="15" x14ac:dyDescent="0.25"/>
  <cols>
    <col min="1" max="1" width="9.7109375" bestFit="1" customWidth="1"/>
    <col min="2" max="2" width="17.7109375" customWidth="1"/>
    <col min="3" max="3" width="9.28515625" customWidth="1"/>
    <col min="4" max="4" width="18.28515625" customWidth="1"/>
    <col min="5" max="5" width="10" customWidth="1"/>
    <col min="6" max="6" width="12.140625" customWidth="1"/>
    <col min="7" max="7" width="11.85546875" style="1" customWidth="1"/>
    <col min="8" max="8" width="11.7109375" style="1" customWidth="1"/>
    <col min="13" max="13" width="80.7109375" customWidth="1"/>
  </cols>
  <sheetData>
    <row r="1" spans="1:13" x14ac:dyDescent="0.25">
      <c r="A1" s="6" t="s">
        <v>46</v>
      </c>
      <c r="B1" s="5"/>
      <c r="C1" s="5"/>
      <c r="D1" s="5"/>
      <c r="E1" s="5"/>
      <c r="F1" s="5"/>
      <c r="G1" s="5"/>
      <c r="H1" s="5"/>
    </row>
    <row r="2" spans="1:13" x14ac:dyDescent="0.25">
      <c r="A2" s="5"/>
      <c r="B2" s="5"/>
      <c r="C2" s="5"/>
      <c r="D2" s="5"/>
      <c r="E2" s="5"/>
      <c r="F2" s="5"/>
      <c r="G2" s="5"/>
      <c r="H2" s="5"/>
    </row>
    <row r="3" spans="1:13" x14ac:dyDescent="0.25">
      <c r="A3" s="5"/>
      <c r="B3" s="5"/>
      <c r="C3" s="5"/>
      <c r="D3" s="5"/>
      <c r="E3" s="5"/>
      <c r="F3" s="5"/>
      <c r="G3" s="5"/>
      <c r="H3" s="5"/>
    </row>
    <row r="4" spans="1:13" ht="90" x14ac:dyDescent="0.25">
      <c r="A4" s="5"/>
      <c r="B4" s="5"/>
      <c r="C4" s="5"/>
      <c r="D4" s="5"/>
      <c r="E4" s="5"/>
      <c r="F4" s="5"/>
      <c r="G4" s="5"/>
      <c r="H4" s="5"/>
      <c r="M4" s="3" t="s">
        <v>71</v>
      </c>
    </row>
    <row r="5" spans="1:13" ht="18.75" x14ac:dyDescent="0.25">
      <c r="A5" s="27" t="s">
        <v>44</v>
      </c>
      <c r="B5" s="27"/>
      <c r="G5"/>
      <c r="H5"/>
    </row>
    <row r="6" spans="1:13" ht="60" x14ac:dyDescent="0.25">
      <c r="A6" s="28" t="s">
        <v>45</v>
      </c>
      <c r="B6" s="28">
        <f ca="1">TODAY()</f>
        <v>45788</v>
      </c>
      <c r="G6"/>
      <c r="H6"/>
      <c r="M6" s="2" t="s">
        <v>72</v>
      </c>
    </row>
    <row r="7" spans="1:13" x14ac:dyDescent="0.25">
      <c r="G7"/>
      <c r="H7"/>
    </row>
    <row r="8" spans="1:13" x14ac:dyDescent="0.25">
      <c r="A8" t="s">
        <v>0</v>
      </c>
      <c r="B8" t="s">
        <v>1</v>
      </c>
      <c r="C8" t="s">
        <v>2</v>
      </c>
      <c r="D8" t="s">
        <v>3</v>
      </c>
      <c r="E8" t="s">
        <v>4</v>
      </c>
      <c r="F8" t="s">
        <v>5</v>
      </c>
      <c r="G8" s="1" t="s">
        <v>6</v>
      </c>
      <c r="H8" s="1" t="s">
        <v>7</v>
      </c>
    </row>
    <row r="9" spans="1:13" x14ac:dyDescent="0.25">
      <c r="A9" s="4">
        <v>45659</v>
      </c>
      <c r="B9" t="s">
        <v>15</v>
      </c>
      <c r="C9" t="s">
        <v>19</v>
      </c>
      <c r="D9" t="s">
        <v>22</v>
      </c>
      <c r="E9" t="s">
        <v>25</v>
      </c>
      <c r="F9">
        <v>4</v>
      </c>
      <c r="G9" s="24" t="s">
        <v>34</v>
      </c>
      <c r="H9" s="1">
        <v>180</v>
      </c>
    </row>
    <row r="10" spans="1:13" x14ac:dyDescent="0.25">
      <c r="A10" s="4">
        <v>45659</v>
      </c>
      <c r="B10" t="s">
        <v>11</v>
      </c>
      <c r="C10" t="s">
        <v>20</v>
      </c>
      <c r="D10" t="s">
        <v>22</v>
      </c>
      <c r="E10" t="s">
        <v>29</v>
      </c>
      <c r="F10">
        <v>1</v>
      </c>
      <c r="G10" s="24" t="s">
        <v>38</v>
      </c>
      <c r="H10" s="1">
        <v>35</v>
      </c>
    </row>
    <row r="11" spans="1:13" x14ac:dyDescent="0.25">
      <c r="A11" s="4">
        <v>45660</v>
      </c>
      <c r="B11" t="s">
        <v>15</v>
      </c>
      <c r="C11" t="s">
        <v>19</v>
      </c>
      <c r="D11" t="s">
        <v>23</v>
      </c>
      <c r="E11" t="s">
        <v>32</v>
      </c>
      <c r="F11">
        <v>5</v>
      </c>
      <c r="G11" s="24" t="s">
        <v>41</v>
      </c>
      <c r="H11" s="1">
        <v>125</v>
      </c>
    </row>
    <row r="12" spans="1:13" x14ac:dyDescent="0.25">
      <c r="A12" s="4">
        <v>45663</v>
      </c>
      <c r="B12" t="s">
        <v>9</v>
      </c>
      <c r="C12" t="s">
        <v>19</v>
      </c>
      <c r="D12" t="s">
        <v>23</v>
      </c>
      <c r="E12" t="s">
        <v>26</v>
      </c>
      <c r="F12">
        <v>4</v>
      </c>
      <c r="G12" s="24" t="s">
        <v>35</v>
      </c>
      <c r="H12" s="1">
        <v>300</v>
      </c>
    </row>
    <row r="13" spans="1:13" x14ac:dyDescent="0.25">
      <c r="A13" s="4">
        <v>45664</v>
      </c>
      <c r="B13" t="s">
        <v>16</v>
      </c>
      <c r="C13" t="s">
        <v>21</v>
      </c>
      <c r="D13" t="s">
        <v>22</v>
      </c>
      <c r="E13" t="s">
        <v>29</v>
      </c>
      <c r="F13">
        <v>2</v>
      </c>
      <c r="G13" s="24" t="s">
        <v>38</v>
      </c>
      <c r="H13" s="1">
        <v>70</v>
      </c>
    </row>
    <row r="14" spans="1:13" x14ac:dyDescent="0.25">
      <c r="A14" s="4">
        <v>45664</v>
      </c>
      <c r="B14" t="s">
        <v>8</v>
      </c>
      <c r="C14" t="s">
        <v>19</v>
      </c>
      <c r="D14" t="s">
        <v>22</v>
      </c>
      <c r="E14" t="s">
        <v>29</v>
      </c>
      <c r="F14">
        <v>1</v>
      </c>
      <c r="G14" s="24" t="s">
        <v>38</v>
      </c>
      <c r="H14" s="1">
        <v>35</v>
      </c>
    </row>
    <row r="15" spans="1:13" x14ac:dyDescent="0.25">
      <c r="A15" s="4">
        <v>45665</v>
      </c>
      <c r="B15" t="s">
        <v>15</v>
      </c>
      <c r="C15" t="s">
        <v>20</v>
      </c>
      <c r="D15" t="s">
        <v>22</v>
      </c>
      <c r="E15" t="s">
        <v>31</v>
      </c>
      <c r="F15">
        <v>4</v>
      </c>
      <c r="G15" s="24" t="s">
        <v>40</v>
      </c>
      <c r="H15" s="1">
        <v>80</v>
      </c>
    </row>
    <row r="16" spans="1:13" x14ac:dyDescent="0.25">
      <c r="A16" s="4">
        <v>45666</v>
      </c>
      <c r="B16" t="s">
        <v>9</v>
      </c>
      <c r="C16" t="s">
        <v>21</v>
      </c>
      <c r="D16" t="s">
        <v>23</v>
      </c>
      <c r="E16" t="s">
        <v>27</v>
      </c>
      <c r="F16">
        <v>5</v>
      </c>
      <c r="G16" s="24" t="s">
        <v>36</v>
      </c>
      <c r="H16" s="1">
        <v>250</v>
      </c>
    </row>
    <row r="17" spans="1:8" x14ac:dyDescent="0.25">
      <c r="A17" s="4">
        <v>45666</v>
      </c>
      <c r="B17" t="s">
        <v>10</v>
      </c>
      <c r="C17" t="s">
        <v>19</v>
      </c>
      <c r="D17" t="s">
        <v>22</v>
      </c>
      <c r="E17" t="s">
        <v>25</v>
      </c>
      <c r="F17">
        <v>4</v>
      </c>
      <c r="G17" s="24" t="s">
        <v>34</v>
      </c>
      <c r="H17" s="1">
        <v>180</v>
      </c>
    </row>
    <row r="18" spans="1:8" x14ac:dyDescent="0.25">
      <c r="A18" s="4">
        <v>45670</v>
      </c>
      <c r="B18" t="s">
        <v>16</v>
      </c>
      <c r="C18" t="s">
        <v>18</v>
      </c>
      <c r="D18" t="s">
        <v>24</v>
      </c>
      <c r="E18" t="s">
        <v>28</v>
      </c>
      <c r="F18">
        <v>5</v>
      </c>
      <c r="G18" s="24" t="s">
        <v>37</v>
      </c>
      <c r="H18" s="1">
        <v>500</v>
      </c>
    </row>
    <row r="19" spans="1:8" x14ac:dyDescent="0.25">
      <c r="A19" s="4">
        <v>45671</v>
      </c>
      <c r="B19" t="s">
        <v>9</v>
      </c>
      <c r="C19" t="s">
        <v>20</v>
      </c>
      <c r="D19" t="s">
        <v>24</v>
      </c>
      <c r="E19" t="s">
        <v>30</v>
      </c>
      <c r="F19">
        <v>2</v>
      </c>
      <c r="G19" s="24" t="s">
        <v>39</v>
      </c>
      <c r="H19" s="1">
        <v>180</v>
      </c>
    </row>
    <row r="20" spans="1:8" x14ac:dyDescent="0.25">
      <c r="A20" s="4">
        <v>45675</v>
      </c>
      <c r="B20" t="s">
        <v>9</v>
      </c>
      <c r="C20" t="s">
        <v>18</v>
      </c>
      <c r="D20" t="s">
        <v>24</v>
      </c>
      <c r="E20" t="s">
        <v>33</v>
      </c>
      <c r="F20">
        <v>2</v>
      </c>
      <c r="G20" s="24" t="s">
        <v>42</v>
      </c>
      <c r="H20" s="1">
        <v>120</v>
      </c>
    </row>
    <row r="21" spans="1:8" x14ac:dyDescent="0.25">
      <c r="A21" s="4">
        <v>45675</v>
      </c>
      <c r="B21" t="s">
        <v>15</v>
      </c>
      <c r="C21" t="s">
        <v>18</v>
      </c>
      <c r="D21" t="s">
        <v>23</v>
      </c>
      <c r="E21" t="s">
        <v>32</v>
      </c>
      <c r="F21">
        <v>1</v>
      </c>
      <c r="G21" s="24" t="s">
        <v>41</v>
      </c>
      <c r="H21" s="1">
        <v>25</v>
      </c>
    </row>
    <row r="22" spans="1:8" x14ac:dyDescent="0.25">
      <c r="A22" s="4">
        <v>45676</v>
      </c>
      <c r="B22" t="s">
        <v>15</v>
      </c>
      <c r="C22" t="s">
        <v>21</v>
      </c>
      <c r="D22" t="s">
        <v>22</v>
      </c>
      <c r="E22" t="s">
        <v>29</v>
      </c>
      <c r="F22">
        <v>5</v>
      </c>
      <c r="G22" s="24" t="s">
        <v>38</v>
      </c>
      <c r="H22" s="1">
        <v>175</v>
      </c>
    </row>
    <row r="23" spans="1:8" x14ac:dyDescent="0.25">
      <c r="A23" s="4">
        <v>45682</v>
      </c>
      <c r="B23" t="s">
        <v>12</v>
      </c>
      <c r="C23" t="s">
        <v>19</v>
      </c>
      <c r="D23" t="s">
        <v>24</v>
      </c>
      <c r="E23" t="s">
        <v>28</v>
      </c>
      <c r="F23">
        <v>5</v>
      </c>
      <c r="G23" s="24" t="s">
        <v>37</v>
      </c>
      <c r="H23" s="1">
        <v>500</v>
      </c>
    </row>
    <row r="24" spans="1:8" x14ac:dyDescent="0.25">
      <c r="A24" s="4">
        <v>45683</v>
      </c>
      <c r="B24" t="s">
        <v>13</v>
      </c>
      <c r="C24" t="s">
        <v>19</v>
      </c>
      <c r="D24" t="s">
        <v>24</v>
      </c>
      <c r="E24" t="s">
        <v>30</v>
      </c>
      <c r="F24">
        <v>3</v>
      </c>
      <c r="G24" s="24" t="s">
        <v>39</v>
      </c>
      <c r="H24" s="1">
        <v>270</v>
      </c>
    </row>
    <row r="25" spans="1:8" x14ac:dyDescent="0.25">
      <c r="A25" s="4">
        <v>45683</v>
      </c>
      <c r="B25" t="s">
        <v>13</v>
      </c>
      <c r="C25" t="s">
        <v>21</v>
      </c>
      <c r="D25" t="s">
        <v>22</v>
      </c>
      <c r="E25" t="s">
        <v>25</v>
      </c>
      <c r="F25">
        <v>4</v>
      </c>
      <c r="G25" s="24" t="s">
        <v>34</v>
      </c>
      <c r="H25" s="1">
        <v>180</v>
      </c>
    </row>
    <row r="26" spans="1:8" x14ac:dyDescent="0.25">
      <c r="A26" s="4">
        <v>45685</v>
      </c>
      <c r="B26" t="s">
        <v>11</v>
      </c>
      <c r="C26" t="s">
        <v>21</v>
      </c>
      <c r="D26" t="s">
        <v>24</v>
      </c>
      <c r="E26" t="s">
        <v>30</v>
      </c>
      <c r="F26">
        <v>5</v>
      </c>
      <c r="G26" s="24" t="s">
        <v>39</v>
      </c>
      <c r="H26" s="1">
        <v>450</v>
      </c>
    </row>
    <row r="27" spans="1:8" x14ac:dyDescent="0.25">
      <c r="A27" s="4">
        <v>45685</v>
      </c>
      <c r="B27" t="s">
        <v>17</v>
      </c>
      <c r="C27" t="s">
        <v>21</v>
      </c>
      <c r="D27" t="s">
        <v>23</v>
      </c>
      <c r="E27" t="s">
        <v>27</v>
      </c>
      <c r="F27">
        <v>4</v>
      </c>
      <c r="G27" s="24" t="s">
        <v>36</v>
      </c>
      <c r="H27" s="1">
        <v>200</v>
      </c>
    </row>
    <row r="28" spans="1:8" x14ac:dyDescent="0.25">
      <c r="A28" s="4">
        <v>45685</v>
      </c>
      <c r="B28" t="s">
        <v>17</v>
      </c>
      <c r="C28" t="s">
        <v>21</v>
      </c>
      <c r="D28" t="s">
        <v>22</v>
      </c>
      <c r="E28" t="s">
        <v>29</v>
      </c>
      <c r="F28">
        <v>3</v>
      </c>
      <c r="G28" s="24" t="s">
        <v>38</v>
      </c>
      <c r="H28" s="1">
        <v>105</v>
      </c>
    </row>
    <row r="29" spans="1:8" x14ac:dyDescent="0.25">
      <c r="A29" s="4">
        <v>45686</v>
      </c>
      <c r="B29" t="s">
        <v>11</v>
      </c>
      <c r="C29" t="s">
        <v>20</v>
      </c>
      <c r="D29" t="s">
        <v>22</v>
      </c>
      <c r="E29" t="s">
        <v>31</v>
      </c>
      <c r="F29">
        <v>4</v>
      </c>
      <c r="G29" s="24" t="s">
        <v>40</v>
      </c>
      <c r="H29" s="1">
        <v>80</v>
      </c>
    </row>
    <row r="30" spans="1:8" x14ac:dyDescent="0.25">
      <c r="A30" s="4">
        <v>45686</v>
      </c>
      <c r="B30" t="s">
        <v>17</v>
      </c>
      <c r="C30" t="s">
        <v>20</v>
      </c>
      <c r="D30" t="s">
        <v>23</v>
      </c>
      <c r="E30" t="s">
        <v>26</v>
      </c>
      <c r="F30">
        <v>1</v>
      </c>
      <c r="G30" s="24" t="s">
        <v>35</v>
      </c>
      <c r="H30" s="1">
        <v>75</v>
      </c>
    </row>
    <row r="31" spans="1:8" x14ac:dyDescent="0.25">
      <c r="A31" s="4">
        <v>45688</v>
      </c>
      <c r="B31" t="s">
        <v>8</v>
      </c>
      <c r="C31" t="s">
        <v>18</v>
      </c>
      <c r="D31" t="s">
        <v>22</v>
      </c>
      <c r="E31" t="s">
        <v>25</v>
      </c>
      <c r="F31">
        <v>5</v>
      </c>
      <c r="G31" s="24" t="s">
        <v>34</v>
      </c>
      <c r="H31" s="1">
        <v>225</v>
      </c>
    </row>
    <row r="32" spans="1:8" x14ac:dyDescent="0.25">
      <c r="A32" s="4">
        <v>45688</v>
      </c>
      <c r="B32" t="s">
        <v>12</v>
      </c>
      <c r="C32" t="s">
        <v>20</v>
      </c>
      <c r="D32" t="s">
        <v>24</v>
      </c>
      <c r="E32" t="s">
        <v>30</v>
      </c>
      <c r="F32">
        <v>4</v>
      </c>
      <c r="G32" s="24" t="s">
        <v>39</v>
      </c>
      <c r="H32" s="1">
        <v>360</v>
      </c>
    </row>
    <row r="33" spans="1:8" x14ac:dyDescent="0.25">
      <c r="A33" s="4">
        <v>45688</v>
      </c>
      <c r="B33" t="s">
        <v>14</v>
      </c>
      <c r="C33" t="s">
        <v>20</v>
      </c>
      <c r="D33" t="s">
        <v>23</v>
      </c>
      <c r="E33" t="s">
        <v>32</v>
      </c>
      <c r="F33">
        <v>5</v>
      </c>
      <c r="G33" s="24" t="s">
        <v>41</v>
      </c>
      <c r="H33" s="1">
        <v>125</v>
      </c>
    </row>
    <row r="34" spans="1:8" x14ac:dyDescent="0.25">
      <c r="A34" s="4">
        <v>45689</v>
      </c>
      <c r="B34" t="s">
        <v>13</v>
      </c>
      <c r="C34" t="s">
        <v>20</v>
      </c>
      <c r="D34" t="s">
        <v>24</v>
      </c>
      <c r="E34" t="s">
        <v>30</v>
      </c>
      <c r="F34">
        <v>2</v>
      </c>
      <c r="G34" s="24" t="s">
        <v>39</v>
      </c>
      <c r="H34" s="1">
        <v>180</v>
      </c>
    </row>
    <row r="35" spans="1:8" x14ac:dyDescent="0.25">
      <c r="A35" s="4">
        <v>45689</v>
      </c>
      <c r="B35" t="s">
        <v>16</v>
      </c>
      <c r="C35" t="s">
        <v>18</v>
      </c>
      <c r="D35" t="s">
        <v>23</v>
      </c>
      <c r="E35" t="s">
        <v>27</v>
      </c>
      <c r="F35">
        <v>1</v>
      </c>
      <c r="G35" s="24" t="s">
        <v>36</v>
      </c>
      <c r="H35" s="1">
        <v>50</v>
      </c>
    </row>
    <row r="36" spans="1:8" x14ac:dyDescent="0.25">
      <c r="A36" s="4">
        <v>45690</v>
      </c>
      <c r="B36" t="s">
        <v>10</v>
      </c>
      <c r="C36" t="s">
        <v>21</v>
      </c>
      <c r="D36" t="s">
        <v>22</v>
      </c>
      <c r="E36" t="s">
        <v>25</v>
      </c>
      <c r="F36">
        <v>1</v>
      </c>
      <c r="G36" s="24" t="s">
        <v>34</v>
      </c>
      <c r="H36" s="1">
        <v>45</v>
      </c>
    </row>
    <row r="37" spans="1:8" x14ac:dyDescent="0.25">
      <c r="A37" s="4">
        <v>45693</v>
      </c>
      <c r="B37" t="s">
        <v>8</v>
      </c>
      <c r="C37" t="s">
        <v>20</v>
      </c>
      <c r="D37" t="s">
        <v>24</v>
      </c>
      <c r="E37" t="s">
        <v>28</v>
      </c>
      <c r="F37">
        <v>5</v>
      </c>
      <c r="G37" s="24" t="s">
        <v>37</v>
      </c>
      <c r="H37" s="1">
        <v>500</v>
      </c>
    </row>
    <row r="38" spans="1:8" x14ac:dyDescent="0.25">
      <c r="A38" s="4">
        <v>45693</v>
      </c>
      <c r="B38" t="s">
        <v>11</v>
      </c>
      <c r="C38" t="s">
        <v>21</v>
      </c>
      <c r="D38" t="s">
        <v>23</v>
      </c>
      <c r="E38" t="s">
        <v>32</v>
      </c>
      <c r="F38">
        <v>1</v>
      </c>
      <c r="G38" s="24" t="s">
        <v>41</v>
      </c>
      <c r="H38" s="1">
        <v>25</v>
      </c>
    </row>
    <row r="39" spans="1:8" x14ac:dyDescent="0.25">
      <c r="A39" s="4">
        <v>45694</v>
      </c>
      <c r="B39" t="s">
        <v>14</v>
      </c>
      <c r="C39" t="s">
        <v>19</v>
      </c>
      <c r="D39" t="s">
        <v>24</v>
      </c>
      <c r="E39" t="s">
        <v>33</v>
      </c>
      <c r="F39">
        <v>5</v>
      </c>
      <c r="G39" s="24" t="s">
        <v>42</v>
      </c>
      <c r="H39" s="1">
        <v>300</v>
      </c>
    </row>
    <row r="40" spans="1:8" x14ac:dyDescent="0.25">
      <c r="A40" s="4">
        <v>45694</v>
      </c>
      <c r="B40" t="s">
        <v>9</v>
      </c>
      <c r="C40" t="s">
        <v>19</v>
      </c>
      <c r="D40" t="s">
        <v>22</v>
      </c>
      <c r="E40" t="s">
        <v>31</v>
      </c>
      <c r="F40">
        <v>3</v>
      </c>
      <c r="G40" s="24" t="s">
        <v>40</v>
      </c>
      <c r="H40" s="1">
        <v>60</v>
      </c>
    </row>
    <row r="41" spans="1:8" x14ac:dyDescent="0.25">
      <c r="A41" s="4">
        <v>45698</v>
      </c>
      <c r="B41" t="s">
        <v>15</v>
      </c>
      <c r="C41" t="s">
        <v>19</v>
      </c>
      <c r="D41" t="s">
        <v>23</v>
      </c>
      <c r="E41" t="s">
        <v>32</v>
      </c>
      <c r="F41">
        <v>3</v>
      </c>
      <c r="G41" s="24" t="s">
        <v>41</v>
      </c>
      <c r="H41" s="1">
        <v>75</v>
      </c>
    </row>
    <row r="42" spans="1:8" x14ac:dyDescent="0.25">
      <c r="A42" s="4">
        <v>45699</v>
      </c>
      <c r="B42" t="s">
        <v>13</v>
      </c>
      <c r="C42" t="s">
        <v>18</v>
      </c>
      <c r="D42" t="s">
        <v>23</v>
      </c>
      <c r="E42" t="s">
        <v>26</v>
      </c>
      <c r="F42">
        <v>2</v>
      </c>
      <c r="G42" s="24" t="s">
        <v>35</v>
      </c>
      <c r="H42" s="1">
        <v>150</v>
      </c>
    </row>
    <row r="43" spans="1:8" x14ac:dyDescent="0.25">
      <c r="A43" s="4">
        <v>45700</v>
      </c>
      <c r="B43" t="s">
        <v>10</v>
      </c>
      <c r="C43" t="s">
        <v>19</v>
      </c>
      <c r="D43" t="s">
        <v>23</v>
      </c>
      <c r="E43" t="s">
        <v>27</v>
      </c>
      <c r="F43">
        <v>1</v>
      </c>
      <c r="G43" s="24" t="s">
        <v>36</v>
      </c>
      <c r="H43" s="1">
        <v>50</v>
      </c>
    </row>
    <row r="44" spans="1:8" x14ac:dyDescent="0.25">
      <c r="A44" s="4">
        <v>45700</v>
      </c>
      <c r="B44" t="s">
        <v>14</v>
      </c>
      <c r="C44" t="s">
        <v>21</v>
      </c>
      <c r="D44" t="s">
        <v>23</v>
      </c>
      <c r="E44" t="s">
        <v>27</v>
      </c>
      <c r="F44">
        <v>4</v>
      </c>
      <c r="G44" s="24" t="s">
        <v>36</v>
      </c>
      <c r="H44" s="1">
        <v>200</v>
      </c>
    </row>
    <row r="45" spans="1:8" x14ac:dyDescent="0.25">
      <c r="A45" s="4">
        <v>45702</v>
      </c>
      <c r="B45" t="s">
        <v>12</v>
      </c>
      <c r="C45" t="s">
        <v>20</v>
      </c>
      <c r="D45" t="s">
        <v>23</v>
      </c>
      <c r="E45" t="s">
        <v>32</v>
      </c>
      <c r="F45">
        <v>4</v>
      </c>
      <c r="G45" s="24" t="s">
        <v>41</v>
      </c>
      <c r="H45" s="1">
        <v>100</v>
      </c>
    </row>
    <row r="46" spans="1:8" x14ac:dyDescent="0.25">
      <c r="A46" s="4">
        <v>45703</v>
      </c>
      <c r="B46" t="s">
        <v>9</v>
      </c>
      <c r="C46" t="s">
        <v>21</v>
      </c>
      <c r="D46" t="s">
        <v>24</v>
      </c>
      <c r="E46" t="s">
        <v>28</v>
      </c>
      <c r="F46">
        <v>1</v>
      </c>
      <c r="G46" s="24" t="s">
        <v>37</v>
      </c>
      <c r="H46" s="1">
        <v>100</v>
      </c>
    </row>
    <row r="47" spans="1:8" x14ac:dyDescent="0.25">
      <c r="A47" s="4">
        <v>45703</v>
      </c>
      <c r="B47" t="s">
        <v>14</v>
      </c>
      <c r="C47" t="s">
        <v>18</v>
      </c>
      <c r="D47" t="s">
        <v>24</v>
      </c>
      <c r="E47" t="s">
        <v>30</v>
      </c>
      <c r="F47">
        <v>4</v>
      </c>
      <c r="G47" s="24" t="s">
        <v>39</v>
      </c>
      <c r="H47" s="1">
        <v>360</v>
      </c>
    </row>
    <row r="48" spans="1:8" x14ac:dyDescent="0.25">
      <c r="A48" s="4">
        <v>45705</v>
      </c>
      <c r="B48" t="s">
        <v>8</v>
      </c>
      <c r="C48" t="s">
        <v>20</v>
      </c>
      <c r="D48" t="s">
        <v>24</v>
      </c>
      <c r="E48" t="s">
        <v>33</v>
      </c>
      <c r="F48">
        <v>3</v>
      </c>
      <c r="G48" s="24" t="s">
        <v>42</v>
      </c>
      <c r="H48" s="1">
        <v>180</v>
      </c>
    </row>
    <row r="49" spans="1:8" x14ac:dyDescent="0.25">
      <c r="A49" s="4">
        <v>45705</v>
      </c>
      <c r="B49" t="s">
        <v>11</v>
      </c>
      <c r="C49" t="s">
        <v>20</v>
      </c>
      <c r="D49" t="s">
        <v>24</v>
      </c>
      <c r="E49" t="s">
        <v>28</v>
      </c>
      <c r="F49">
        <v>5</v>
      </c>
      <c r="G49" s="24" t="s">
        <v>37</v>
      </c>
      <c r="H49" s="1">
        <v>500</v>
      </c>
    </row>
    <row r="50" spans="1:8" x14ac:dyDescent="0.25">
      <c r="A50" s="4">
        <v>45707</v>
      </c>
      <c r="B50" t="s">
        <v>9</v>
      </c>
      <c r="C50" t="s">
        <v>18</v>
      </c>
      <c r="D50" t="s">
        <v>23</v>
      </c>
      <c r="E50" t="s">
        <v>32</v>
      </c>
      <c r="F50">
        <v>1</v>
      </c>
      <c r="G50" s="24" t="s">
        <v>41</v>
      </c>
      <c r="H50" s="1">
        <v>25</v>
      </c>
    </row>
    <row r="51" spans="1:8" x14ac:dyDescent="0.25">
      <c r="A51" s="4">
        <v>45707</v>
      </c>
      <c r="B51" t="s">
        <v>13</v>
      </c>
      <c r="C51" t="s">
        <v>18</v>
      </c>
      <c r="D51" t="s">
        <v>24</v>
      </c>
      <c r="E51" t="s">
        <v>28</v>
      </c>
      <c r="F51">
        <v>5</v>
      </c>
      <c r="G51" s="24" t="s">
        <v>37</v>
      </c>
      <c r="H51" s="1">
        <v>500</v>
      </c>
    </row>
    <row r="52" spans="1:8" x14ac:dyDescent="0.25">
      <c r="A52" s="4">
        <v>45708</v>
      </c>
      <c r="B52" t="s">
        <v>12</v>
      </c>
      <c r="C52" t="s">
        <v>18</v>
      </c>
      <c r="D52" t="s">
        <v>24</v>
      </c>
      <c r="E52" t="s">
        <v>28</v>
      </c>
      <c r="F52">
        <v>1</v>
      </c>
      <c r="G52" s="24" t="s">
        <v>37</v>
      </c>
      <c r="H52" s="1">
        <v>100</v>
      </c>
    </row>
    <row r="53" spans="1:8" x14ac:dyDescent="0.25">
      <c r="A53" s="4">
        <v>45709</v>
      </c>
      <c r="B53" t="s">
        <v>10</v>
      </c>
      <c r="C53" t="s">
        <v>20</v>
      </c>
      <c r="D53" t="s">
        <v>22</v>
      </c>
      <c r="E53" t="s">
        <v>29</v>
      </c>
      <c r="F53">
        <v>3</v>
      </c>
      <c r="G53" s="24" t="s">
        <v>38</v>
      </c>
      <c r="H53" s="1">
        <v>105</v>
      </c>
    </row>
    <row r="54" spans="1:8" x14ac:dyDescent="0.25">
      <c r="A54" s="4">
        <v>45710</v>
      </c>
      <c r="B54" t="s">
        <v>16</v>
      </c>
      <c r="C54" t="s">
        <v>18</v>
      </c>
      <c r="D54" t="s">
        <v>22</v>
      </c>
      <c r="E54" t="s">
        <v>29</v>
      </c>
      <c r="F54">
        <v>2</v>
      </c>
      <c r="G54" s="24" t="s">
        <v>38</v>
      </c>
      <c r="H54" s="1">
        <v>70</v>
      </c>
    </row>
    <row r="55" spans="1:8" x14ac:dyDescent="0.25">
      <c r="A55" s="4">
        <v>45711</v>
      </c>
      <c r="B55" t="s">
        <v>17</v>
      </c>
      <c r="C55" t="s">
        <v>18</v>
      </c>
      <c r="D55" t="s">
        <v>23</v>
      </c>
      <c r="E55" t="s">
        <v>27</v>
      </c>
      <c r="F55">
        <v>5</v>
      </c>
      <c r="G55" s="24" t="s">
        <v>36</v>
      </c>
      <c r="H55" s="1">
        <v>250</v>
      </c>
    </row>
    <row r="56" spans="1:8" x14ac:dyDescent="0.25">
      <c r="A56" s="4">
        <v>45711</v>
      </c>
      <c r="B56" t="s">
        <v>12</v>
      </c>
      <c r="C56" t="s">
        <v>19</v>
      </c>
      <c r="D56" t="s">
        <v>23</v>
      </c>
      <c r="E56" t="s">
        <v>26</v>
      </c>
      <c r="F56">
        <v>1</v>
      </c>
      <c r="G56" s="24" t="s">
        <v>35</v>
      </c>
      <c r="H56" s="1">
        <v>75</v>
      </c>
    </row>
    <row r="57" spans="1:8" x14ac:dyDescent="0.25">
      <c r="A57" s="4">
        <v>45712</v>
      </c>
      <c r="B57" t="s">
        <v>10</v>
      </c>
      <c r="C57" t="s">
        <v>20</v>
      </c>
      <c r="D57" t="s">
        <v>24</v>
      </c>
      <c r="E57" t="s">
        <v>33</v>
      </c>
      <c r="F57">
        <v>4</v>
      </c>
      <c r="G57" s="24" t="s">
        <v>42</v>
      </c>
      <c r="H57" s="1">
        <v>240</v>
      </c>
    </row>
    <row r="58" spans="1:8" x14ac:dyDescent="0.25">
      <c r="A58" s="4">
        <v>45712</v>
      </c>
      <c r="B58" t="s">
        <v>9</v>
      </c>
      <c r="C58" t="s">
        <v>20</v>
      </c>
      <c r="D58" t="s">
        <v>23</v>
      </c>
      <c r="E58" t="s">
        <v>27</v>
      </c>
      <c r="F58">
        <v>1</v>
      </c>
      <c r="G58" s="24" t="s">
        <v>36</v>
      </c>
      <c r="H58" s="1">
        <v>50</v>
      </c>
    </row>
    <row r="59" spans="1:8" x14ac:dyDescent="0.25">
      <c r="A59" s="4">
        <v>45712</v>
      </c>
      <c r="B59" t="s">
        <v>14</v>
      </c>
      <c r="C59" t="s">
        <v>18</v>
      </c>
      <c r="D59" t="s">
        <v>23</v>
      </c>
      <c r="E59" t="s">
        <v>27</v>
      </c>
      <c r="F59">
        <v>4</v>
      </c>
      <c r="G59" s="24" t="s">
        <v>36</v>
      </c>
      <c r="H59" s="1">
        <v>200</v>
      </c>
    </row>
    <row r="60" spans="1:8" x14ac:dyDescent="0.25">
      <c r="A60" s="4">
        <v>45712</v>
      </c>
      <c r="B60" t="s">
        <v>14</v>
      </c>
      <c r="C60" t="s">
        <v>18</v>
      </c>
      <c r="D60" t="s">
        <v>23</v>
      </c>
      <c r="E60" t="s">
        <v>26</v>
      </c>
      <c r="F60">
        <v>4</v>
      </c>
      <c r="G60" s="24" t="s">
        <v>35</v>
      </c>
      <c r="H60" s="1">
        <v>300</v>
      </c>
    </row>
    <row r="61" spans="1:8" x14ac:dyDescent="0.25">
      <c r="A61" s="4">
        <v>45716</v>
      </c>
      <c r="B61" t="s">
        <v>10</v>
      </c>
      <c r="C61" t="s">
        <v>20</v>
      </c>
      <c r="D61" t="s">
        <v>24</v>
      </c>
      <c r="E61" t="s">
        <v>28</v>
      </c>
      <c r="F61">
        <v>4</v>
      </c>
      <c r="G61" s="24" t="s">
        <v>37</v>
      </c>
      <c r="H61" s="1">
        <v>400</v>
      </c>
    </row>
    <row r="62" spans="1:8" x14ac:dyDescent="0.25">
      <c r="A62" s="4">
        <v>45717</v>
      </c>
      <c r="B62" t="s">
        <v>13</v>
      </c>
      <c r="C62" t="s">
        <v>19</v>
      </c>
      <c r="D62" t="s">
        <v>22</v>
      </c>
      <c r="E62" t="s">
        <v>29</v>
      </c>
      <c r="F62">
        <v>1</v>
      </c>
      <c r="G62" s="24" t="s">
        <v>38</v>
      </c>
      <c r="H62" s="1">
        <v>35</v>
      </c>
    </row>
    <row r="63" spans="1:8" x14ac:dyDescent="0.25">
      <c r="A63" s="4">
        <v>45717</v>
      </c>
      <c r="B63" t="s">
        <v>12</v>
      </c>
      <c r="C63" t="s">
        <v>19</v>
      </c>
      <c r="D63" t="s">
        <v>24</v>
      </c>
      <c r="E63" t="s">
        <v>28</v>
      </c>
      <c r="F63">
        <v>4</v>
      </c>
      <c r="G63" s="24" t="s">
        <v>37</v>
      </c>
      <c r="H63" s="1">
        <v>400</v>
      </c>
    </row>
    <row r="64" spans="1:8" x14ac:dyDescent="0.25">
      <c r="A64" s="4">
        <v>45718</v>
      </c>
      <c r="B64" t="s">
        <v>13</v>
      </c>
      <c r="C64" t="s">
        <v>21</v>
      </c>
      <c r="D64" t="s">
        <v>23</v>
      </c>
      <c r="E64" t="s">
        <v>32</v>
      </c>
      <c r="F64">
        <v>3</v>
      </c>
      <c r="G64" s="24" t="s">
        <v>41</v>
      </c>
      <c r="H64" s="1">
        <v>75</v>
      </c>
    </row>
    <row r="65" spans="1:8" x14ac:dyDescent="0.25">
      <c r="A65" s="4">
        <v>45719</v>
      </c>
      <c r="B65" t="s">
        <v>14</v>
      </c>
      <c r="C65" t="s">
        <v>19</v>
      </c>
      <c r="D65" t="s">
        <v>22</v>
      </c>
      <c r="E65" t="s">
        <v>31</v>
      </c>
      <c r="F65">
        <v>5</v>
      </c>
      <c r="G65" s="24" t="s">
        <v>40</v>
      </c>
      <c r="H65" s="1">
        <v>100</v>
      </c>
    </row>
    <row r="66" spans="1:8" x14ac:dyDescent="0.25">
      <c r="A66" s="4">
        <v>45723</v>
      </c>
      <c r="B66" t="s">
        <v>11</v>
      </c>
      <c r="C66" t="s">
        <v>19</v>
      </c>
      <c r="D66" t="s">
        <v>22</v>
      </c>
      <c r="E66" t="s">
        <v>25</v>
      </c>
      <c r="F66">
        <v>5</v>
      </c>
      <c r="G66" s="24" t="s">
        <v>34</v>
      </c>
      <c r="H66" s="1">
        <v>225</v>
      </c>
    </row>
    <row r="67" spans="1:8" x14ac:dyDescent="0.25">
      <c r="A67" s="4">
        <v>45723</v>
      </c>
      <c r="B67" t="s">
        <v>10</v>
      </c>
      <c r="C67" t="s">
        <v>21</v>
      </c>
      <c r="D67" t="s">
        <v>23</v>
      </c>
      <c r="E67" t="s">
        <v>27</v>
      </c>
      <c r="F67">
        <v>1</v>
      </c>
      <c r="G67" s="24" t="s">
        <v>36</v>
      </c>
      <c r="H67" s="1">
        <v>50</v>
      </c>
    </row>
    <row r="68" spans="1:8" x14ac:dyDescent="0.25">
      <c r="A68" s="4">
        <v>45724</v>
      </c>
      <c r="B68" t="s">
        <v>10</v>
      </c>
      <c r="C68" t="s">
        <v>18</v>
      </c>
      <c r="D68" t="s">
        <v>24</v>
      </c>
      <c r="E68" t="s">
        <v>28</v>
      </c>
      <c r="F68">
        <v>5</v>
      </c>
      <c r="G68" s="24" t="s">
        <v>37</v>
      </c>
      <c r="H68" s="1">
        <v>500</v>
      </c>
    </row>
    <row r="69" spans="1:8" x14ac:dyDescent="0.25">
      <c r="A69" s="4">
        <v>45724</v>
      </c>
      <c r="B69" t="s">
        <v>16</v>
      </c>
      <c r="C69" t="s">
        <v>18</v>
      </c>
      <c r="D69" t="s">
        <v>23</v>
      </c>
      <c r="E69" t="s">
        <v>26</v>
      </c>
      <c r="F69">
        <v>1</v>
      </c>
      <c r="G69" s="24" t="s">
        <v>35</v>
      </c>
      <c r="H69" s="1">
        <v>75</v>
      </c>
    </row>
    <row r="70" spans="1:8" x14ac:dyDescent="0.25">
      <c r="A70" s="4">
        <v>45724</v>
      </c>
      <c r="B70" t="s">
        <v>9</v>
      </c>
      <c r="C70" t="s">
        <v>18</v>
      </c>
      <c r="D70" t="s">
        <v>23</v>
      </c>
      <c r="E70" t="s">
        <v>27</v>
      </c>
      <c r="F70">
        <v>5</v>
      </c>
      <c r="G70" s="24" t="s">
        <v>36</v>
      </c>
      <c r="H70" s="1">
        <v>250</v>
      </c>
    </row>
    <row r="71" spans="1:8" x14ac:dyDescent="0.25">
      <c r="A71" s="4">
        <v>45726</v>
      </c>
      <c r="B71" t="s">
        <v>11</v>
      </c>
      <c r="C71" t="s">
        <v>19</v>
      </c>
      <c r="D71" t="s">
        <v>22</v>
      </c>
      <c r="E71" t="s">
        <v>31</v>
      </c>
      <c r="F71">
        <v>5</v>
      </c>
      <c r="G71" s="24" t="s">
        <v>40</v>
      </c>
      <c r="H71" s="1">
        <v>100</v>
      </c>
    </row>
    <row r="72" spans="1:8" x14ac:dyDescent="0.25">
      <c r="A72" s="4">
        <v>45729</v>
      </c>
      <c r="B72" t="s">
        <v>16</v>
      </c>
      <c r="C72" t="s">
        <v>18</v>
      </c>
      <c r="D72" t="s">
        <v>24</v>
      </c>
      <c r="E72" t="s">
        <v>28</v>
      </c>
      <c r="F72">
        <v>2</v>
      </c>
      <c r="G72" s="24" t="s">
        <v>37</v>
      </c>
      <c r="H72" s="1">
        <v>200</v>
      </c>
    </row>
    <row r="73" spans="1:8" x14ac:dyDescent="0.25">
      <c r="A73" s="4">
        <v>45730</v>
      </c>
      <c r="B73" t="s">
        <v>17</v>
      </c>
      <c r="C73" t="s">
        <v>20</v>
      </c>
      <c r="D73" t="s">
        <v>24</v>
      </c>
      <c r="E73" t="s">
        <v>28</v>
      </c>
      <c r="F73">
        <v>5</v>
      </c>
      <c r="G73" s="24" t="s">
        <v>37</v>
      </c>
      <c r="H73" s="1">
        <v>500</v>
      </c>
    </row>
    <row r="74" spans="1:8" x14ac:dyDescent="0.25">
      <c r="A74" s="4">
        <v>45732</v>
      </c>
      <c r="B74" t="s">
        <v>16</v>
      </c>
      <c r="C74" t="s">
        <v>20</v>
      </c>
      <c r="D74" t="s">
        <v>22</v>
      </c>
      <c r="E74" t="s">
        <v>29</v>
      </c>
      <c r="F74">
        <v>4</v>
      </c>
      <c r="G74" s="24" t="s">
        <v>38</v>
      </c>
      <c r="H74" s="1">
        <v>140</v>
      </c>
    </row>
    <row r="75" spans="1:8" x14ac:dyDescent="0.25">
      <c r="A75" s="4">
        <v>45732</v>
      </c>
      <c r="B75" t="s">
        <v>10</v>
      </c>
      <c r="C75" t="s">
        <v>21</v>
      </c>
      <c r="D75" t="s">
        <v>24</v>
      </c>
      <c r="E75" t="s">
        <v>28</v>
      </c>
      <c r="F75">
        <v>5</v>
      </c>
      <c r="G75" s="24" t="s">
        <v>37</v>
      </c>
      <c r="H75" s="1">
        <v>500</v>
      </c>
    </row>
    <row r="76" spans="1:8" x14ac:dyDescent="0.25">
      <c r="A76" s="4">
        <v>45734</v>
      </c>
      <c r="B76" t="s">
        <v>9</v>
      </c>
      <c r="C76" t="s">
        <v>20</v>
      </c>
      <c r="D76" t="s">
        <v>24</v>
      </c>
      <c r="E76" t="s">
        <v>33</v>
      </c>
      <c r="F76">
        <v>3</v>
      </c>
      <c r="G76" s="24" t="s">
        <v>42</v>
      </c>
      <c r="H76" s="1">
        <v>180</v>
      </c>
    </row>
    <row r="77" spans="1:8" x14ac:dyDescent="0.25">
      <c r="A77" s="4">
        <v>45735</v>
      </c>
      <c r="B77" t="s">
        <v>17</v>
      </c>
      <c r="C77" t="s">
        <v>21</v>
      </c>
      <c r="D77" t="s">
        <v>24</v>
      </c>
      <c r="E77" t="s">
        <v>28</v>
      </c>
      <c r="F77">
        <v>5</v>
      </c>
      <c r="G77" s="24" t="s">
        <v>37</v>
      </c>
      <c r="H77" s="1">
        <v>500</v>
      </c>
    </row>
    <row r="78" spans="1:8" x14ac:dyDescent="0.25">
      <c r="A78" s="4">
        <v>45736</v>
      </c>
      <c r="B78" t="s">
        <v>12</v>
      </c>
      <c r="C78" t="s">
        <v>20</v>
      </c>
      <c r="D78" t="s">
        <v>24</v>
      </c>
      <c r="E78" t="s">
        <v>30</v>
      </c>
      <c r="F78">
        <v>4</v>
      </c>
      <c r="G78" s="24" t="s">
        <v>39</v>
      </c>
      <c r="H78" s="1">
        <v>360</v>
      </c>
    </row>
    <row r="79" spans="1:8" x14ac:dyDescent="0.25">
      <c r="A79" s="4">
        <v>45737</v>
      </c>
      <c r="B79" t="s">
        <v>14</v>
      </c>
      <c r="C79" t="s">
        <v>21</v>
      </c>
      <c r="D79" t="s">
        <v>22</v>
      </c>
      <c r="E79" t="s">
        <v>31</v>
      </c>
      <c r="F79">
        <v>4</v>
      </c>
      <c r="G79" s="24" t="s">
        <v>40</v>
      </c>
      <c r="H79" s="1">
        <v>80</v>
      </c>
    </row>
    <row r="80" spans="1:8" x14ac:dyDescent="0.25">
      <c r="A80" s="4">
        <v>45741</v>
      </c>
      <c r="B80" t="s">
        <v>11</v>
      </c>
      <c r="C80" t="s">
        <v>19</v>
      </c>
      <c r="D80" t="s">
        <v>23</v>
      </c>
      <c r="E80" t="s">
        <v>26</v>
      </c>
      <c r="F80">
        <v>1</v>
      </c>
      <c r="G80" s="24" t="s">
        <v>35</v>
      </c>
      <c r="H80" s="1">
        <v>75</v>
      </c>
    </row>
    <row r="81" spans="1:8" x14ac:dyDescent="0.25">
      <c r="A81" s="4">
        <v>45741</v>
      </c>
      <c r="B81" t="s">
        <v>12</v>
      </c>
      <c r="C81" t="s">
        <v>19</v>
      </c>
      <c r="D81" t="s">
        <v>22</v>
      </c>
      <c r="E81" t="s">
        <v>31</v>
      </c>
      <c r="F81">
        <v>3</v>
      </c>
      <c r="G81" s="24" t="s">
        <v>40</v>
      </c>
      <c r="H81" s="1">
        <v>60</v>
      </c>
    </row>
    <row r="82" spans="1:8" x14ac:dyDescent="0.25">
      <c r="A82" s="4">
        <v>45742</v>
      </c>
      <c r="B82" t="s">
        <v>8</v>
      </c>
      <c r="C82" t="s">
        <v>19</v>
      </c>
      <c r="D82" t="s">
        <v>22</v>
      </c>
      <c r="E82" t="s">
        <v>29</v>
      </c>
      <c r="F82">
        <v>3</v>
      </c>
      <c r="G82" s="24" t="s">
        <v>38</v>
      </c>
      <c r="H82" s="1">
        <v>105</v>
      </c>
    </row>
    <row r="83" spans="1:8" x14ac:dyDescent="0.25">
      <c r="A83" s="4">
        <v>45743</v>
      </c>
      <c r="B83" t="s">
        <v>15</v>
      </c>
      <c r="C83" t="s">
        <v>21</v>
      </c>
      <c r="D83" t="s">
        <v>23</v>
      </c>
      <c r="E83" t="s">
        <v>26</v>
      </c>
      <c r="F83">
        <v>3</v>
      </c>
      <c r="G83" s="24" t="s">
        <v>35</v>
      </c>
      <c r="H83" s="1">
        <v>225</v>
      </c>
    </row>
    <row r="84" spans="1:8" x14ac:dyDescent="0.25">
      <c r="A84" s="4">
        <v>45744</v>
      </c>
      <c r="B84" t="s">
        <v>13</v>
      </c>
      <c r="C84" t="s">
        <v>19</v>
      </c>
      <c r="D84" t="s">
        <v>23</v>
      </c>
      <c r="E84" t="s">
        <v>27</v>
      </c>
      <c r="F84">
        <v>3</v>
      </c>
      <c r="G84" s="24" t="s">
        <v>36</v>
      </c>
      <c r="H84" s="1">
        <v>150</v>
      </c>
    </row>
    <row r="85" spans="1:8" x14ac:dyDescent="0.25">
      <c r="A85" s="4">
        <v>45745</v>
      </c>
      <c r="B85" t="s">
        <v>15</v>
      </c>
      <c r="C85" t="s">
        <v>20</v>
      </c>
      <c r="D85" t="s">
        <v>22</v>
      </c>
      <c r="E85" t="s">
        <v>31</v>
      </c>
      <c r="F85">
        <v>5</v>
      </c>
      <c r="G85" s="24" t="s">
        <v>40</v>
      </c>
      <c r="H85" s="1">
        <v>100</v>
      </c>
    </row>
    <row r="86" spans="1:8" x14ac:dyDescent="0.25">
      <c r="A86" s="4">
        <v>45745</v>
      </c>
      <c r="B86" t="s">
        <v>14</v>
      </c>
      <c r="C86" t="s">
        <v>20</v>
      </c>
      <c r="D86" t="s">
        <v>23</v>
      </c>
      <c r="E86" t="s">
        <v>32</v>
      </c>
      <c r="F86">
        <v>5</v>
      </c>
      <c r="G86" s="24" t="s">
        <v>41</v>
      </c>
      <c r="H86" s="1">
        <v>125</v>
      </c>
    </row>
    <row r="87" spans="1:8" x14ac:dyDescent="0.25">
      <c r="A87" s="4">
        <v>45745</v>
      </c>
      <c r="B87" t="s">
        <v>11</v>
      </c>
      <c r="C87" t="s">
        <v>20</v>
      </c>
      <c r="D87" t="s">
        <v>24</v>
      </c>
      <c r="E87" t="s">
        <v>33</v>
      </c>
      <c r="F87">
        <v>2</v>
      </c>
      <c r="G87" s="24" t="s">
        <v>42</v>
      </c>
      <c r="H87" s="1">
        <v>120</v>
      </c>
    </row>
    <row r="88" spans="1:8" x14ac:dyDescent="0.25">
      <c r="A88" s="4">
        <v>45747</v>
      </c>
      <c r="B88" t="s">
        <v>9</v>
      </c>
      <c r="C88" t="s">
        <v>18</v>
      </c>
      <c r="D88" t="s">
        <v>24</v>
      </c>
      <c r="E88" t="s">
        <v>33</v>
      </c>
      <c r="F88">
        <v>1</v>
      </c>
      <c r="G88" s="24" t="s">
        <v>42</v>
      </c>
      <c r="H88" s="1">
        <v>60</v>
      </c>
    </row>
    <row r="89" spans="1:8" x14ac:dyDescent="0.25">
      <c r="A89" s="4">
        <v>45748</v>
      </c>
      <c r="B89" t="s">
        <v>10</v>
      </c>
      <c r="C89" t="s">
        <v>20</v>
      </c>
      <c r="D89" t="s">
        <v>22</v>
      </c>
      <c r="E89" t="s">
        <v>25</v>
      </c>
      <c r="F89">
        <v>3</v>
      </c>
      <c r="G89" s="24" t="s">
        <v>34</v>
      </c>
      <c r="H89" s="1">
        <v>135</v>
      </c>
    </row>
    <row r="90" spans="1:8" x14ac:dyDescent="0.25">
      <c r="A90" s="4">
        <v>45748</v>
      </c>
      <c r="B90" t="s">
        <v>15</v>
      </c>
      <c r="C90" t="s">
        <v>20</v>
      </c>
      <c r="D90" t="s">
        <v>24</v>
      </c>
      <c r="E90" t="s">
        <v>33</v>
      </c>
      <c r="F90">
        <v>3</v>
      </c>
      <c r="G90" s="24" t="s">
        <v>42</v>
      </c>
      <c r="H90" s="1">
        <v>180</v>
      </c>
    </row>
    <row r="91" spans="1:8" x14ac:dyDescent="0.25">
      <c r="A91" s="4">
        <v>45748</v>
      </c>
      <c r="B91" t="s">
        <v>15</v>
      </c>
      <c r="C91" t="s">
        <v>18</v>
      </c>
      <c r="D91" t="s">
        <v>22</v>
      </c>
      <c r="E91" t="s">
        <v>31</v>
      </c>
      <c r="F91">
        <v>5</v>
      </c>
      <c r="G91" s="24" t="s">
        <v>40</v>
      </c>
      <c r="H91" s="1">
        <v>100</v>
      </c>
    </row>
    <row r="92" spans="1:8" x14ac:dyDescent="0.25">
      <c r="A92" s="4">
        <v>45752</v>
      </c>
      <c r="B92" t="s">
        <v>13</v>
      </c>
      <c r="C92" t="s">
        <v>19</v>
      </c>
      <c r="D92" t="s">
        <v>23</v>
      </c>
      <c r="E92" t="s">
        <v>32</v>
      </c>
      <c r="F92">
        <v>2</v>
      </c>
      <c r="G92" s="24" t="s">
        <v>41</v>
      </c>
      <c r="H92" s="1">
        <v>50</v>
      </c>
    </row>
    <row r="93" spans="1:8" x14ac:dyDescent="0.25">
      <c r="A93" s="4">
        <v>45757</v>
      </c>
      <c r="B93" t="s">
        <v>17</v>
      </c>
      <c r="C93" t="s">
        <v>18</v>
      </c>
      <c r="D93" t="s">
        <v>24</v>
      </c>
      <c r="E93" t="s">
        <v>33</v>
      </c>
      <c r="F93">
        <v>4</v>
      </c>
      <c r="G93" s="24" t="s">
        <v>42</v>
      </c>
      <c r="H93" s="1">
        <v>240</v>
      </c>
    </row>
    <row r="94" spans="1:8" x14ac:dyDescent="0.25">
      <c r="A94" s="4">
        <v>45758</v>
      </c>
      <c r="B94" t="s">
        <v>16</v>
      </c>
      <c r="C94" t="s">
        <v>21</v>
      </c>
      <c r="D94" t="s">
        <v>24</v>
      </c>
      <c r="E94" t="s">
        <v>30</v>
      </c>
      <c r="F94">
        <v>4</v>
      </c>
      <c r="G94" s="24" t="s">
        <v>39</v>
      </c>
      <c r="H94" s="1">
        <v>360</v>
      </c>
    </row>
    <row r="95" spans="1:8" x14ac:dyDescent="0.25">
      <c r="A95" s="4">
        <v>45758</v>
      </c>
      <c r="B95" t="s">
        <v>16</v>
      </c>
      <c r="C95" t="s">
        <v>18</v>
      </c>
      <c r="D95" t="s">
        <v>24</v>
      </c>
      <c r="E95" t="s">
        <v>30</v>
      </c>
      <c r="F95">
        <v>2</v>
      </c>
      <c r="G95" s="24" t="s">
        <v>39</v>
      </c>
      <c r="H95" s="1">
        <v>180</v>
      </c>
    </row>
    <row r="96" spans="1:8" x14ac:dyDescent="0.25">
      <c r="A96" s="4">
        <v>45759</v>
      </c>
      <c r="B96" t="s">
        <v>11</v>
      </c>
      <c r="C96" t="s">
        <v>20</v>
      </c>
      <c r="D96" t="s">
        <v>23</v>
      </c>
      <c r="E96" t="s">
        <v>27</v>
      </c>
      <c r="F96">
        <v>4</v>
      </c>
      <c r="G96" s="24" t="s">
        <v>36</v>
      </c>
      <c r="H96" s="1">
        <v>200</v>
      </c>
    </row>
    <row r="97" spans="1:8" x14ac:dyDescent="0.25">
      <c r="A97" s="4">
        <v>45765</v>
      </c>
      <c r="B97" t="s">
        <v>17</v>
      </c>
      <c r="C97" t="s">
        <v>20</v>
      </c>
      <c r="D97" t="s">
        <v>23</v>
      </c>
      <c r="E97" t="s">
        <v>32</v>
      </c>
      <c r="F97">
        <v>1</v>
      </c>
      <c r="G97" s="24" t="s">
        <v>41</v>
      </c>
      <c r="H97" s="1">
        <v>25</v>
      </c>
    </row>
    <row r="98" spans="1:8" x14ac:dyDescent="0.25">
      <c r="A98" s="4">
        <v>45766</v>
      </c>
      <c r="B98" t="s">
        <v>11</v>
      </c>
      <c r="C98" t="s">
        <v>18</v>
      </c>
      <c r="D98" t="s">
        <v>24</v>
      </c>
      <c r="E98" t="s">
        <v>28</v>
      </c>
      <c r="F98">
        <v>1</v>
      </c>
      <c r="G98" s="24" t="s">
        <v>37</v>
      </c>
      <c r="H98" s="1">
        <v>100</v>
      </c>
    </row>
    <row r="99" spans="1:8" x14ac:dyDescent="0.25">
      <c r="A99" s="4">
        <v>45766</v>
      </c>
      <c r="B99" t="s">
        <v>11</v>
      </c>
      <c r="C99" t="s">
        <v>19</v>
      </c>
      <c r="D99" t="s">
        <v>23</v>
      </c>
      <c r="E99" t="s">
        <v>26</v>
      </c>
      <c r="F99">
        <v>2</v>
      </c>
      <c r="G99" s="24" t="s">
        <v>35</v>
      </c>
      <c r="H99" s="1">
        <v>150</v>
      </c>
    </row>
    <row r="100" spans="1:8" x14ac:dyDescent="0.25">
      <c r="A100" s="4">
        <v>45767</v>
      </c>
      <c r="B100" t="s">
        <v>16</v>
      </c>
      <c r="C100" t="s">
        <v>21</v>
      </c>
      <c r="D100" t="s">
        <v>24</v>
      </c>
      <c r="E100" t="s">
        <v>30</v>
      </c>
      <c r="F100">
        <v>2</v>
      </c>
      <c r="G100" s="24" t="s">
        <v>39</v>
      </c>
      <c r="H100" s="1">
        <v>180</v>
      </c>
    </row>
    <row r="101" spans="1:8" x14ac:dyDescent="0.25">
      <c r="A101" s="4">
        <v>45767</v>
      </c>
      <c r="B101" t="s">
        <v>12</v>
      </c>
      <c r="C101" t="s">
        <v>20</v>
      </c>
      <c r="D101" t="s">
        <v>22</v>
      </c>
      <c r="E101" t="s">
        <v>29</v>
      </c>
      <c r="F101">
        <v>4</v>
      </c>
      <c r="G101" s="24" t="s">
        <v>38</v>
      </c>
      <c r="H101" s="1">
        <v>140</v>
      </c>
    </row>
    <row r="102" spans="1:8" x14ac:dyDescent="0.25">
      <c r="A102" s="4">
        <v>45767</v>
      </c>
      <c r="B102" t="s">
        <v>9</v>
      </c>
      <c r="C102" t="s">
        <v>18</v>
      </c>
      <c r="D102" t="s">
        <v>23</v>
      </c>
      <c r="E102" t="s">
        <v>26</v>
      </c>
      <c r="F102">
        <v>5</v>
      </c>
      <c r="G102" s="24" t="s">
        <v>35</v>
      </c>
      <c r="H102" s="1">
        <v>375</v>
      </c>
    </row>
    <row r="103" spans="1:8" x14ac:dyDescent="0.25">
      <c r="A103" s="4">
        <v>45771</v>
      </c>
      <c r="B103" t="s">
        <v>16</v>
      </c>
      <c r="C103" t="s">
        <v>21</v>
      </c>
      <c r="D103" t="s">
        <v>23</v>
      </c>
      <c r="E103" t="s">
        <v>32</v>
      </c>
      <c r="F103">
        <v>3</v>
      </c>
      <c r="G103" s="24" t="s">
        <v>41</v>
      </c>
      <c r="H103" s="1">
        <v>75</v>
      </c>
    </row>
    <row r="104" spans="1:8" x14ac:dyDescent="0.25">
      <c r="A104" s="4">
        <v>45773</v>
      </c>
      <c r="B104" t="s">
        <v>9</v>
      </c>
      <c r="C104" t="s">
        <v>21</v>
      </c>
      <c r="D104" t="s">
        <v>22</v>
      </c>
      <c r="E104" t="s">
        <v>25</v>
      </c>
      <c r="F104">
        <v>2</v>
      </c>
      <c r="G104" s="24" t="s">
        <v>34</v>
      </c>
      <c r="H104" s="1">
        <v>90</v>
      </c>
    </row>
    <row r="105" spans="1:8" x14ac:dyDescent="0.25">
      <c r="A105" s="4">
        <v>45773</v>
      </c>
      <c r="B105" t="s">
        <v>8</v>
      </c>
      <c r="C105" t="s">
        <v>19</v>
      </c>
      <c r="D105" t="s">
        <v>23</v>
      </c>
      <c r="E105" t="s">
        <v>26</v>
      </c>
      <c r="F105">
        <v>3</v>
      </c>
      <c r="G105" s="24" t="s">
        <v>35</v>
      </c>
      <c r="H105" s="1">
        <v>225</v>
      </c>
    </row>
    <row r="106" spans="1:8" x14ac:dyDescent="0.25">
      <c r="A106" s="4">
        <v>45774</v>
      </c>
      <c r="B106" t="s">
        <v>14</v>
      </c>
      <c r="C106" t="s">
        <v>19</v>
      </c>
      <c r="D106" t="s">
        <v>24</v>
      </c>
      <c r="E106" t="s">
        <v>28</v>
      </c>
      <c r="F106">
        <v>5</v>
      </c>
      <c r="G106" s="24" t="s">
        <v>37</v>
      </c>
      <c r="H106" s="1">
        <v>500</v>
      </c>
    </row>
    <row r="107" spans="1:8" x14ac:dyDescent="0.25">
      <c r="A107" s="4">
        <v>45775</v>
      </c>
      <c r="B107" t="s">
        <v>15</v>
      </c>
      <c r="C107" t="s">
        <v>20</v>
      </c>
      <c r="D107" t="s">
        <v>23</v>
      </c>
      <c r="E107" t="s">
        <v>27</v>
      </c>
      <c r="F107">
        <v>5</v>
      </c>
      <c r="G107" s="24" t="s">
        <v>36</v>
      </c>
      <c r="H107" s="1">
        <v>250</v>
      </c>
    </row>
    <row r="108" spans="1:8" x14ac:dyDescent="0.25">
      <c r="A108" s="4">
        <v>45775</v>
      </c>
      <c r="B108" t="s">
        <v>16</v>
      </c>
      <c r="C108" t="s">
        <v>21</v>
      </c>
      <c r="D108" t="s">
        <v>24</v>
      </c>
      <c r="E108" t="s">
        <v>28</v>
      </c>
      <c r="F108">
        <v>3</v>
      </c>
      <c r="G108" s="24" t="s">
        <v>37</v>
      </c>
      <c r="H108" s="1">
        <v>300</v>
      </c>
    </row>
    <row r="109" spans="1:8" x14ac:dyDescent="0.25">
      <c r="A109" t="s">
        <v>43</v>
      </c>
      <c r="G109"/>
      <c r="H109" s="9">
        <f>SUBTOTAL(109,Table[Total Sale])</f>
        <v>19160</v>
      </c>
    </row>
  </sheetData>
  <mergeCells count="2">
    <mergeCell ref="A1:H4"/>
    <mergeCell ref="A5:B5"/>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83C1-C862-4EED-8976-EB426FDA0786}">
  <dimension ref="A2:O49"/>
  <sheetViews>
    <sheetView topLeftCell="A27" workbookViewId="0">
      <selection activeCell="Q46" sqref="Q46"/>
    </sheetView>
  </sheetViews>
  <sheetFormatPr defaultRowHeight="15" x14ac:dyDescent="0.25"/>
  <cols>
    <col min="3" max="4" width="9.85546875" customWidth="1"/>
    <col min="6" max="6" width="10.5703125" customWidth="1"/>
  </cols>
  <sheetData>
    <row r="2" spans="1:10" ht="15.75" thickBot="1" x14ac:dyDescent="0.3">
      <c r="A2" s="15" t="s">
        <v>59</v>
      </c>
      <c r="B2" s="17"/>
      <c r="C2" s="15" t="s">
        <v>60</v>
      </c>
      <c r="D2" s="17"/>
      <c r="E2" s="15" t="s">
        <v>61</v>
      </c>
      <c r="F2" s="17"/>
      <c r="G2" s="15" t="s">
        <v>62</v>
      </c>
      <c r="H2" s="17"/>
      <c r="I2" s="13" t="s">
        <v>63</v>
      </c>
      <c r="J2" s="17"/>
    </row>
    <row r="3" spans="1:10" ht="16.5" thickTop="1" thickBot="1" x14ac:dyDescent="0.3">
      <c r="A3" s="16"/>
      <c r="B3" s="18"/>
      <c r="C3" s="16"/>
      <c r="D3" s="18"/>
      <c r="E3" s="16"/>
      <c r="F3" s="18"/>
      <c r="G3" s="16"/>
      <c r="H3" s="18"/>
      <c r="I3" s="14"/>
      <c r="J3" s="18"/>
    </row>
    <row r="4" spans="1:10" ht="15.75" thickTop="1" x14ac:dyDescent="0.25">
      <c r="A4" s="19">
        <f>SUM('Raw Data'!H9:H108)</f>
        <v>19160</v>
      </c>
      <c r="B4" s="19"/>
      <c r="C4" s="19">
        <f>SUM('Raw Data'!F9:F108)</f>
        <v>324</v>
      </c>
      <c r="D4" s="19"/>
      <c r="E4" s="22" t="str">
        <f>'Employee Sale PivotTable'!J25</f>
        <v>Olivia Johnson</v>
      </c>
      <c r="F4" s="22"/>
      <c r="G4" s="19" t="str">
        <f>'Region PivotTable'!B7</f>
        <v>West</v>
      </c>
      <c r="H4" s="19"/>
      <c r="I4" s="19" t="str">
        <f>'Category PivotTable'!B6</f>
        <v>Footwear</v>
      </c>
      <c r="J4" s="19"/>
    </row>
    <row r="5" spans="1:10" x14ac:dyDescent="0.25">
      <c r="A5" s="20"/>
      <c r="B5" s="20"/>
      <c r="C5" s="20"/>
      <c r="D5" s="20"/>
      <c r="E5" s="23"/>
      <c r="F5" s="23"/>
      <c r="G5" s="20"/>
      <c r="H5" s="20"/>
      <c r="I5" s="20"/>
      <c r="J5" s="20"/>
    </row>
    <row r="6" spans="1:10" x14ac:dyDescent="0.25">
      <c r="A6" s="20"/>
      <c r="B6" s="20"/>
      <c r="C6" s="20"/>
      <c r="D6" s="20"/>
      <c r="E6" s="23"/>
      <c r="F6" s="23"/>
      <c r="G6" s="20"/>
      <c r="H6" s="20"/>
      <c r="I6" s="20"/>
      <c r="J6" s="20"/>
    </row>
    <row r="7" spans="1:10" x14ac:dyDescent="0.25">
      <c r="A7" s="20"/>
      <c r="B7" s="20"/>
      <c r="C7" s="20"/>
      <c r="D7" s="20"/>
      <c r="E7" s="23"/>
      <c r="F7" s="23"/>
      <c r="G7" s="20"/>
      <c r="H7" s="20"/>
      <c r="I7" s="20"/>
      <c r="J7" s="20"/>
    </row>
    <row r="12" spans="1:10" ht="15.75" thickBot="1" x14ac:dyDescent="0.3">
      <c r="A12" s="12" t="s">
        <v>68</v>
      </c>
      <c r="B12" s="12"/>
      <c r="C12" s="12"/>
      <c r="D12" s="12"/>
      <c r="E12" s="12"/>
      <c r="F12" s="12"/>
      <c r="G12" s="12"/>
      <c r="H12" s="12"/>
    </row>
    <row r="13" spans="1:10" ht="16.5" thickTop="1" thickBot="1" x14ac:dyDescent="0.3">
      <c r="A13" s="12"/>
      <c r="B13" s="12"/>
      <c r="C13" s="12"/>
      <c r="D13" s="12"/>
      <c r="E13" s="12"/>
      <c r="F13" s="12"/>
      <c r="G13" s="12"/>
      <c r="H13" s="12"/>
    </row>
    <row r="14" spans="1:10" ht="15.75" thickTop="1" x14ac:dyDescent="0.25"/>
    <row r="30" spans="1:15" ht="15.75" thickBot="1" x14ac:dyDescent="0.3">
      <c r="A30" s="12" t="s">
        <v>69</v>
      </c>
      <c r="B30" s="12"/>
      <c r="C30" s="12"/>
      <c r="D30" s="12"/>
      <c r="E30" s="12"/>
      <c r="F30" s="12"/>
      <c r="G30" s="12"/>
      <c r="H30" s="12"/>
      <c r="J30" s="26" t="s">
        <v>61</v>
      </c>
      <c r="K30" s="26"/>
      <c r="L30" s="26"/>
      <c r="M30" s="26"/>
      <c r="N30" s="26"/>
      <c r="O30" s="26"/>
    </row>
    <row r="31" spans="1:15" ht="16.5" thickTop="1" thickBot="1" x14ac:dyDescent="0.3">
      <c r="A31" s="12"/>
      <c r="B31" s="12"/>
      <c r="C31" s="12"/>
      <c r="D31" s="12"/>
      <c r="E31" s="12"/>
      <c r="F31" s="12"/>
      <c r="G31" s="12"/>
      <c r="H31" s="12"/>
      <c r="J31" s="26"/>
      <c r="K31" s="26"/>
      <c r="L31" s="26"/>
      <c r="M31" s="26"/>
      <c r="N31" s="26"/>
      <c r="O31" s="26"/>
    </row>
    <row r="32" spans="1:15" ht="15.75" thickTop="1" x14ac:dyDescent="0.25"/>
    <row r="47" spans="10:15" ht="15.75" thickBot="1" x14ac:dyDescent="0.3">
      <c r="J47" s="12" t="s">
        <v>70</v>
      </c>
      <c r="K47" s="12"/>
      <c r="L47" s="12"/>
      <c r="M47" s="12"/>
      <c r="N47" s="12"/>
      <c r="O47" s="12"/>
    </row>
    <row r="48" spans="10:15" ht="16.5" thickTop="1" thickBot="1" x14ac:dyDescent="0.3">
      <c r="J48" s="12"/>
      <c r="K48" s="12"/>
      <c r="L48" s="12"/>
      <c r="M48" s="12"/>
      <c r="N48" s="12"/>
      <c r="O48" s="12"/>
    </row>
    <row r="49" ht="15.75" thickTop="1" x14ac:dyDescent="0.25"/>
  </sheetData>
  <mergeCells count="14">
    <mergeCell ref="A12:H13"/>
    <mergeCell ref="A30:H31"/>
    <mergeCell ref="J30:O31"/>
    <mergeCell ref="J47:O48"/>
    <mergeCell ref="A2:B3"/>
    <mergeCell ref="C2:D3"/>
    <mergeCell ref="E2:F3"/>
    <mergeCell ref="G2:H3"/>
    <mergeCell ref="I2:J3"/>
    <mergeCell ref="A4:B7"/>
    <mergeCell ref="C4:D7"/>
    <mergeCell ref="E4:F7"/>
    <mergeCell ref="G4:H7"/>
    <mergeCell ref="I4:J7"/>
  </mergeCells>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37A1-7D16-4989-8F25-4F62E862ABC1}">
  <dimension ref="A3:J48"/>
  <sheetViews>
    <sheetView topLeftCell="A7" workbookViewId="0">
      <selection activeCell="H27" sqref="H27"/>
    </sheetView>
  </sheetViews>
  <sheetFormatPr defaultRowHeight="15" x14ac:dyDescent="0.25"/>
  <cols>
    <col min="1" max="1" width="18" bestFit="1" customWidth="1"/>
    <col min="2" max="2" width="16.28515625" bestFit="1" customWidth="1"/>
    <col min="3" max="3" width="18.5703125" bestFit="1" customWidth="1"/>
    <col min="4" max="4" width="13.85546875" bestFit="1" customWidth="1"/>
    <col min="5" max="5" width="9.5703125" bestFit="1" customWidth="1"/>
    <col min="6" max="8" width="10.7109375" bestFit="1" customWidth="1"/>
    <col min="9" max="9" width="18" bestFit="1" customWidth="1"/>
    <col min="10" max="10" width="16.28515625" bestFit="1" customWidth="1"/>
    <col min="11" max="64" width="10.7109375" bestFit="1" customWidth="1"/>
    <col min="65" max="65" width="11.28515625" bestFit="1" customWidth="1"/>
  </cols>
  <sheetData>
    <row r="3" spans="1:5" x14ac:dyDescent="0.25">
      <c r="A3" s="7" t="s">
        <v>2</v>
      </c>
      <c r="B3" s="7" t="s">
        <v>1</v>
      </c>
      <c r="C3" s="7" t="s">
        <v>3</v>
      </c>
      <c r="D3" s="10" t="s">
        <v>49</v>
      </c>
      <c r="E3" t="s">
        <v>7</v>
      </c>
    </row>
    <row r="4" spans="1:5" x14ac:dyDescent="0.25">
      <c r="A4" t="s">
        <v>21</v>
      </c>
      <c r="D4" s="10"/>
      <c r="E4" s="9"/>
    </row>
    <row r="5" spans="1:5" x14ac:dyDescent="0.25">
      <c r="B5" t="s">
        <v>13</v>
      </c>
      <c r="D5" s="10">
        <v>2</v>
      </c>
      <c r="E5" s="9">
        <v>255</v>
      </c>
    </row>
    <row r="6" spans="1:5" x14ac:dyDescent="0.25">
      <c r="B6" t="s">
        <v>14</v>
      </c>
      <c r="D6" s="10">
        <v>2</v>
      </c>
      <c r="E6" s="9">
        <v>280</v>
      </c>
    </row>
    <row r="7" spans="1:5" x14ac:dyDescent="0.25">
      <c r="B7" t="s">
        <v>15</v>
      </c>
      <c r="D7" s="10">
        <v>2</v>
      </c>
      <c r="E7" s="9">
        <v>400</v>
      </c>
    </row>
    <row r="8" spans="1:5" x14ac:dyDescent="0.25">
      <c r="B8" t="s">
        <v>9</v>
      </c>
      <c r="D8" s="10">
        <v>3</v>
      </c>
      <c r="E8" s="9">
        <v>440</v>
      </c>
    </row>
    <row r="9" spans="1:5" x14ac:dyDescent="0.25">
      <c r="B9" t="s">
        <v>11</v>
      </c>
      <c r="D9" s="10">
        <v>2</v>
      </c>
      <c r="E9" s="9">
        <v>475</v>
      </c>
    </row>
    <row r="10" spans="1:5" x14ac:dyDescent="0.25">
      <c r="B10" t="s">
        <v>10</v>
      </c>
      <c r="D10" s="10">
        <v>3</v>
      </c>
      <c r="E10" s="9">
        <v>595</v>
      </c>
    </row>
    <row r="11" spans="1:5" x14ac:dyDescent="0.25">
      <c r="B11" t="s">
        <v>17</v>
      </c>
      <c r="D11" s="10">
        <v>3</v>
      </c>
      <c r="E11" s="9">
        <v>805</v>
      </c>
    </row>
    <row r="12" spans="1:5" x14ac:dyDescent="0.25">
      <c r="B12" t="s">
        <v>16</v>
      </c>
      <c r="D12" s="10">
        <v>5</v>
      </c>
      <c r="E12" s="9">
        <v>985</v>
      </c>
    </row>
    <row r="13" spans="1:5" x14ac:dyDescent="0.25">
      <c r="A13" t="s">
        <v>50</v>
      </c>
      <c r="D13" s="10">
        <v>22</v>
      </c>
      <c r="E13" s="9">
        <v>4235</v>
      </c>
    </row>
    <row r="14" spans="1:5" x14ac:dyDescent="0.25">
      <c r="A14" t="s">
        <v>19</v>
      </c>
      <c r="D14" s="10"/>
      <c r="E14" s="9"/>
    </row>
    <row r="15" spans="1:5" x14ac:dyDescent="0.25">
      <c r="B15" t="s">
        <v>10</v>
      </c>
      <c r="D15" s="10">
        <v>2</v>
      </c>
      <c r="E15" s="9">
        <v>230</v>
      </c>
    </row>
    <row r="16" spans="1:5" x14ac:dyDescent="0.25">
      <c r="B16" t="s">
        <v>9</v>
      </c>
      <c r="D16" s="10">
        <v>2</v>
      </c>
      <c r="E16" s="9">
        <v>360</v>
      </c>
    </row>
    <row r="17" spans="1:10" x14ac:dyDescent="0.25">
      <c r="B17" t="s">
        <v>8</v>
      </c>
      <c r="D17" s="10">
        <v>3</v>
      </c>
      <c r="E17" s="9">
        <v>365</v>
      </c>
    </row>
    <row r="18" spans="1:10" x14ac:dyDescent="0.25">
      <c r="B18" t="s">
        <v>15</v>
      </c>
      <c r="D18" s="10">
        <v>3</v>
      </c>
      <c r="E18" s="9">
        <v>380</v>
      </c>
    </row>
    <row r="19" spans="1:10" x14ac:dyDescent="0.25">
      <c r="B19" t="s">
        <v>13</v>
      </c>
      <c r="D19" s="10">
        <v>4</v>
      </c>
      <c r="E19" s="9">
        <v>505</v>
      </c>
    </row>
    <row r="20" spans="1:10" x14ac:dyDescent="0.25">
      <c r="B20" t="s">
        <v>11</v>
      </c>
      <c r="D20" s="10">
        <v>4</v>
      </c>
      <c r="E20" s="9">
        <v>550</v>
      </c>
    </row>
    <row r="21" spans="1:10" x14ac:dyDescent="0.25">
      <c r="B21" t="s">
        <v>14</v>
      </c>
      <c r="D21" s="10">
        <v>3</v>
      </c>
      <c r="E21" s="9">
        <v>900</v>
      </c>
    </row>
    <row r="22" spans="1:10" x14ac:dyDescent="0.25">
      <c r="B22" t="s">
        <v>12</v>
      </c>
      <c r="D22" s="10">
        <v>4</v>
      </c>
      <c r="E22" s="9">
        <v>1035</v>
      </c>
    </row>
    <row r="23" spans="1:10" x14ac:dyDescent="0.25">
      <c r="A23" t="s">
        <v>53</v>
      </c>
      <c r="D23" s="10">
        <v>25</v>
      </c>
      <c r="E23" s="9">
        <v>4325</v>
      </c>
    </row>
    <row r="24" spans="1:10" x14ac:dyDescent="0.25">
      <c r="A24" t="s">
        <v>18</v>
      </c>
      <c r="D24" s="10"/>
      <c r="E24" s="9"/>
    </row>
    <row r="25" spans="1:10" ht="18" thickBot="1" x14ac:dyDescent="0.35">
      <c r="B25" t="s">
        <v>11</v>
      </c>
      <c r="D25" s="10">
        <v>1</v>
      </c>
      <c r="E25" s="9">
        <v>100</v>
      </c>
      <c r="I25" s="21" t="s">
        <v>64</v>
      </c>
      <c r="J25" s="11" t="str">
        <f>INDEX(I27:I36, MATCH(MAX(J27:J36), J27:J36, 0))</f>
        <v>Olivia Johnson</v>
      </c>
    </row>
    <row r="26" spans="1:10" ht="15.75" thickTop="1" x14ac:dyDescent="0.25">
      <c r="B26" t="s">
        <v>12</v>
      </c>
      <c r="D26" s="10">
        <v>1</v>
      </c>
      <c r="E26" s="9">
        <v>100</v>
      </c>
      <c r="I26" s="7" t="s">
        <v>1</v>
      </c>
      <c r="J26" t="s">
        <v>48</v>
      </c>
    </row>
    <row r="27" spans="1:10" x14ac:dyDescent="0.25">
      <c r="B27" t="s">
        <v>15</v>
      </c>
      <c r="D27" s="10">
        <v>2</v>
      </c>
      <c r="E27" s="9">
        <v>125</v>
      </c>
      <c r="I27" s="8" t="s">
        <v>8</v>
      </c>
      <c r="J27" s="9">
        <v>1270</v>
      </c>
    </row>
    <row r="28" spans="1:10" x14ac:dyDescent="0.25">
      <c r="B28" t="s">
        <v>8</v>
      </c>
      <c r="D28" s="10">
        <v>1</v>
      </c>
      <c r="E28" s="9">
        <v>225</v>
      </c>
      <c r="I28" s="8" t="s">
        <v>15</v>
      </c>
      <c r="J28" s="9">
        <v>1515</v>
      </c>
    </row>
    <row r="29" spans="1:10" x14ac:dyDescent="0.25">
      <c r="B29" t="s">
        <v>17</v>
      </c>
      <c r="D29" s="10">
        <v>2</v>
      </c>
      <c r="E29" s="9">
        <v>490</v>
      </c>
      <c r="I29" s="8" t="s">
        <v>13</v>
      </c>
      <c r="J29" s="9">
        <v>1590</v>
      </c>
    </row>
    <row r="30" spans="1:10" x14ac:dyDescent="0.25">
      <c r="B30" t="s">
        <v>10</v>
      </c>
      <c r="D30" s="10">
        <v>1</v>
      </c>
      <c r="E30" s="9">
        <v>500</v>
      </c>
      <c r="I30" s="8" t="s">
        <v>17</v>
      </c>
      <c r="J30" s="9">
        <v>1895</v>
      </c>
    </row>
    <row r="31" spans="1:10" x14ac:dyDescent="0.25">
      <c r="B31" t="s">
        <v>13</v>
      </c>
      <c r="D31" s="10">
        <v>2</v>
      </c>
      <c r="E31" s="9">
        <v>650</v>
      </c>
      <c r="I31" s="8" t="s">
        <v>9</v>
      </c>
      <c r="J31" s="9">
        <v>2040</v>
      </c>
    </row>
    <row r="32" spans="1:10" x14ac:dyDescent="0.25">
      <c r="B32" t="s">
        <v>9</v>
      </c>
      <c r="D32" s="10">
        <v>5</v>
      </c>
      <c r="E32" s="9">
        <v>830</v>
      </c>
      <c r="I32" s="8" t="s">
        <v>11</v>
      </c>
      <c r="J32" s="9">
        <v>2060</v>
      </c>
    </row>
    <row r="33" spans="1:10" x14ac:dyDescent="0.25">
      <c r="B33" t="s">
        <v>14</v>
      </c>
      <c r="D33" s="10">
        <v>3</v>
      </c>
      <c r="E33" s="9">
        <v>860</v>
      </c>
      <c r="I33" s="8" t="s">
        <v>12</v>
      </c>
      <c r="J33" s="9">
        <v>2095</v>
      </c>
    </row>
    <row r="34" spans="1:10" x14ac:dyDescent="0.25">
      <c r="B34" t="s">
        <v>16</v>
      </c>
      <c r="D34" s="10">
        <v>6</v>
      </c>
      <c r="E34" s="9">
        <v>1075</v>
      </c>
      <c r="I34" s="8" t="s">
        <v>16</v>
      </c>
      <c r="J34" s="9">
        <v>2200</v>
      </c>
    </row>
    <row r="35" spans="1:10" x14ac:dyDescent="0.25">
      <c r="A35" t="s">
        <v>51</v>
      </c>
      <c r="D35" s="10">
        <v>24</v>
      </c>
      <c r="E35" s="9">
        <v>4955</v>
      </c>
      <c r="I35" s="8" t="s">
        <v>10</v>
      </c>
      <c r="J35" s="9">
        <v>2205</v>
      </c>
    </row>
    <row r="36" spans="1:10" x14ac:dyDescent="0.25">
      <c r="A36" t="s">
        <v>20</v>
      </c>
      <c r="D36" s="10"/>
      <c r="E36" s="9"/>
      <c r="I36" s="8" t="s">
        <v>14</v>
      </c>
      <c r="J36" s="9">
        <v>2290</v>
      </c>
    </row>
    <row r="37" spans="1:10" x14ac:dyDescent="0.25">
      <c r="B37" t="s">
        <v>16</v>
      </c>
      <c r="D37" s="10">
        <v>1</v>
      </c>
      <c r="E37" s="9">
        <v>140</v>
      </c>
      <c r="I37" s="8" t="s">
        <v>47</v>
      </c>
      <c r="J37" s="9">
        <v>19160</v>
      </c>
    </row>
    <row r="38" spans="1:10" x14ac:dyDescent="0.25">
      <c r="B38" t="s">
        <v>13</v>
      </c>
      <c r="D38" s="10">
        <v>1</v>
      </c>
      <c r="E38" s="9">
        <v>180</v>
      </c>
    </row>
    <row r="39" spans="1:10" x14ac:dyDescent="0.25">
      <c r="B39" t="s">
        <v>14</v>
      </c>
      <c r="D39" s="10">
        <v>2</v>
      </c>
      <c r="E39" s="9">
        <v>250</v>
      </c>
    </row>
    <row r="40" spans="1:10" x14ac:dyDescent="0.25">
      <c r="B40" t="s">
        <v>9</v>
      </c>
      <c r="D40" s="10">
        <v>3</v>
      </c>
      <c r="E40" s="9">
        <v>410</v>
      </c>
    </row>
    <row r="41" spans="1:10" x14ac:dyDescent="0.25">
      <c r="B41" t="s">
        <v>17</v>
      </c>
      <c r="D41" s="10">
        <v>3</v>
      </c>
      <c r="E41" s="9">
        <v>600</v>
      </c>
    </row>
    <row r="42" spans="1:10" x14ac:dyDescent="0.25">
      <c r="B42" t="s">
        <v>15</v>
      </c>
      <c r="D42" s="10">
        <v>4</v>
      </c>
      <c r="E42" s="9">
        <v>610</v>
      </c>
    </row>
    <row r="43" spans="1:10" x14ac:dyDescent="0.25">
      <c r="B43" t="s">
        <v>8</v>
      </c>
      <c r="D43" s="10">
        <v>2</v>
      </c>
      <c r="E43" s="9">
        <v>680</v>
      </c>
    </row>
    <row r="44" spans="1:10" x14ac:dyDescent="0.25">
      <c r="B44" t="s">
        <v>10</v>
      </c>
      <c r="D44" s="10">
        <v>4</v>
      </c>
      <c r="E44" s="9">
        <v>880</v>
      </c>
    </row>
    <row r="45" spans="1:10" x14ac:dyDescent="0.25">
      <c r="B45" t="s">
        <v>11</v>
      </c>
      <c r="D45" s="10">
        <v>5</v>
      </c>
      <c r="E45" s="9">
        <v>935</v>
      </c>
    </row>
    <row r="46" spans="1:10" x14ac:dyDescent="0.25">
      <c r="B46" t="s">
        <v>12</v>
      </c>
      <c r="D46" s="10">
        <v>4</v>
      </c>
      <c r="E46" s="9">
        <v>960</v>
      </c>
    </row>
    <row r="47" spans="1:10" x14ac:dyDescent="0.25">
      <c r="A47" t="s">
        <v>52</v>
      </c>
      <c r="D47" s="10">
        <v>29</v>
      </c>
      <c r="E47" s="9">
        <v>5645</v>
      </c>
    </row>
    <row r="48" spans="1:10" x14ac:dyDescent="0.25">
      <c r="A48" t="s">
        <v>47</v>
      </c>
      <c r="D48" s="10">
        <v>100</v>
      </c>
      <c r="E48" s="9">
        <v>19160</v>
      </c>
    </row>
  </sheetData>
  <sortState xmlns:xlrd2="http://schemas.microsoft.com/office/spreadsheetml/2017/richdata2" ref="A3:E48">
    <sortCondition ref="E3"/>
  </sortState>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626F5-9029-4C10-9935-4288B81F600B}">
  <dimension ref="A1:B6"/>
  <sheetViews>
    <sheetView workbookViewId="0">
      <selection activeCell="M18" sqref="M18"/>
    </sheetView>
  </sheetViews>
  <sheetFormatPr defaultRowHeight="15" x14ac:dyDescent="0.25"/>
  <cols>
    <col min="1" max="1" width="11.28515625" bestFit="1" customWidth="1"/>
    <col min="2" max="2" width="16.28515625" bestFit="1" customWidth="1"/>
  </cols>
  <sheetData>
    <row r="1" spans="1:2" x14ac:dyDescent="0.25">
      <c r="A1" s="7" t="s">
        <v>58</v>
      </c>
      <c r="B1" t="s">
        <v>48</v>
      </c>
    </row>
    <row r="2" spans="1:2" x14ac:dyDescent="0.25">
      <c r="A2" s="8" t="s">
        <v>54</v>
      </c>
      <c r="B2" s="9">
        <v>4825</v>
      </c>
    </row>
    <row r="3" spans="1:2" x14ac:dyDescent="0.25">
      <c r="A3" s="8" t="s">
        <v>55</v>
      </c>
      <c r="B3" s="9">
        <v>5190</v>
      </c>
    </row>
    <row r="4" spans="1:2" x14ac:dyDescent="0.25">
      <c r="A4" s="8" t="s">
        <v>56</v>
      </c>
      <c r="B4" s="9">
        <v>5290</v>
      </c>
    </row>
    <row r="5" spans="1:2" x14ac:dyDescent="0.25">
      <c r="A5" s="8" t="s">
        <v>57</v>
      </c>
      <c r="B5" s="9">
        <v>3855</v>
      </c>
    </row>
    <row r="6" spans="1:2" x14ac:dyDescent="0.25">
      <c r="A6" s="8" t="s">
        <v>47</v>
      </c>
      <c r="B6" s="9">
        <v>19160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D79B-F87C-45A0-A345-CF11C006D8CB}">
  <dimension ref="A1:B8"/>
  <sheetViews>
    <sheetView workbookViewId="0">
      <selection activeCell="P15" sqref="P15"/>
    </sheetView>
  </sheetViews>
  <sheetFormatPr defaultRowHeight="15" x14ac:dyDescent="0.25"/>
  <cols>
    <col min="1" max="1" width="13.140625" bestFit="1" customWidth="1"/>
    <col min="2" max="2" width="16.28515625" bestFit="1" customWidth="1"/>
  </cols>
  <sheetData>
    <row r="1" spans="1:2" x14ac:dyDescent="0.25">
      <c r="A1" s="7" t="s">
        <v>2</v>
      </c>
      <c r="B1" t="s">
        <v>48</v>
      </c>
    </row>
    <row r="2" spans="1:2" x14ac:dyDescent="0.25">
      <c r="A2" s="8" t="s">
        <v>21</v>
      </c>
      <c r="B2" s="9">
        <v>4235</v>
      </c>
    </row>
    <row r="3" spans="1:2" x14ac:dyDescent="0.25">
      <c r="A3" s="8" t="s">
        <v>19</v>
      </c>
      <c r="B3" s="9">
        <v>4325</v>
      </c>
    </row>
    <row r="4" spans="1:2" x14ac:dyDescent="0.25">
      <c r="A4" s="8" t="s">
        <v>18</v>
      </c>
      <c r="B4" s="9">
        <v>4955</v>
      </c>
    </row>
    <row r="5" spans="1:2" x14ac:dyDescent="0.25">
      <c r="A5" s="8" t="s">
        <v>20</v>
      </c>
      <c r="B5" s="9">
        <v>5645</v>
      </c>
    </row>
    <row r="6" spans="1:2" x14ac:dyDescent="0.25">
      <c r="A6" s="8" t="s">
        <v>47</v>
      </c>
      <c r="B6" s="9">
        <v>19160</v>
      </c>
    </row>
    <row r="7" spans="1:2" ht="18" thickBot="1" x14ac:dyDescent="0.35">
      <c r="A7" s="25" t="s">
        <v>65</v>
      </c>
      <c r="B7" s="11" t="str">
        <f>INDEX(A1:A5, MATCH(MAX(B1:B5), B1:B5, 0))</f>
        <v>West</v>
      </c>
    </row>
    <row r="8" spans="1:2" ht="15.75" thickTop="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93D9-FF7E-4D82-B3E5-C764D5B4FCB4}">
  <dimension ref="A1:B7"/>
  <sheetViews>
    <sheetView workbookViewId="0">
      <selection activeCell="J50" sqref="J50"/>
    </sheetView>
  </sheetViews>
  <sheetFormatPr defaultRowHeight="15" x14ac:dyDescent="0.25"/>
  <cols>
    <col min="1" max="1" width="11.28515625" bestFit="1" customWidth="1"/>
    <col min="2" max="2" width="16.28515625" bestFit="1" customWidth="1"/>
  </cols>
  <sheetData>
    <row r="1" spans="1:2" x14ac:dyDescent="0.25">
      <c r="A1" s="7" t="s">
        <v>66</v>
      </c>
      <c r="B1" t="s">
        <v>48</v>
      </c>
    </row>
    <row r="2" spans="1:2" x14ac:dyDescent="0.25">
      <c r="A2" s="8" t="s">
        <v>23</v>
      </c>
      <c r="B2" s="9">
        <v>5025</v>
      </c>
    </row>
    <row r="3" spans="1:2" x14ac:dyDescent="0.25">
      <c r="A3" s="8" t="s">
        <v>22</v>
      </c>
      <c r="B3" s="9">
        <v>3035</v>
      </c>
    </row>
    <row r="4" spans="1:2" x14ac:dyDescent="0.25">
      <c r="A4" s="8" t="s">
        <v>24</v>
      </c>
      <c r="B4" s="9">
        <v>11100</v>
      </c>
    </row>
    <row r="5" spans="1:2" x14ac:dyDescent="0.25">
      <c r="A5" s="8" t="s">
        <v>47</v>
      </c>
      <c r="B5" s="9">
        <v>19160</v>
      </c>
    </row>
    <row r="6" spans="1:2" ht="18" thickBot="1" x14ac:dyDescent="0.35">
      <c r="A6" s="25" t="s">
        <v>67</v>
      </c>
      <c r="B6" s="11" t="str">
        <f>INDEX(A2:A4, MATCH(MAX(B2:B4), B2:B4, 0))</f>
        <v>Footwear</v>
      </c>
    </row>
    <row r="7" spans="1:2" ht="15.75" thickTop="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2702A3-6F7E-4A41-9CBE-62E3321300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 Data</vt:lpstr>
      <vt:lpstr>Dashboard</vt:lpstr>
      <vt:lpstr>Employee Sale PivotTable</vt:lpstr>
      <vt:lpstr>Monthly Sales PivotTable</vt:lpstr>
      <vt:lpstr>Region PivotTable</vt:lpstr>
      <vt:lpstr>Category PivotTable</vt:lpstr>
      <vt:lpstr>Total_Sale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Michael Mayaka</cp:lastModifiedBy>
  <cp:lastPrinted>2025-05-11T18:55:30Z</cp:lastPrinted>
  <dcterms:created xsi:type="dcterms:W3CDTF">2025-05-11T18:49:29Z</dcterms:created>
  <dcterms:modified xsi:type="dcterms:W3CDTF">2025-05-12T03:38:54Z</dcterms:modified>
</cp:coreProperties>
</file>